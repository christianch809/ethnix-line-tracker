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anChavez\Desktop\"/>
    </mc:Choice>
  </mc:AlternateContent>
  <xr:revisionPtr revIDLastSave="0" documentId="8_{674EC06F-F7BC-4FF8-A82D-DA2680A37588}" xr6:coauthVersionLast="47" xr6:coauthVersionMax="47" xr10:uidLastSave="{00000000-0000-0000-0000-000000000000}"/>
  <bookViews>
    <workbookView xWindow="28680" yWindow="-120" windowWidth="29040" windowHeight="15720" tabRatio="800" activeTab="6" xr2:uid="{0C59C6AC-7BAF-4FC0-82C6-FA3146531B20}"/>
  </bookViews>
  <sheets>
    <sheet name="Sheet3" sheetId="11" r:id="rId1"/>
    <sheet name="Sheet2" sheetId="12" r:id="rId2"/>
    <sheet name="Sheet4" sheetId="13" r:id="rId3"/>
    <sheet name="FACTURAS" sheetId="9" r:id="rId4"/>
    <sheet name="DISPOSITIVOS ACTIVOS" sheetId="1" r:id="rId5"/>
    <sheet name="MIGRACION SEPTIEMBRE 2025" sheetId="14" r:id="rId6"/>
    <sheet name="Sheet5" sheetId="15" r:id="rId7"/>
    <sheet name="Cambios por escrito" sheetId="8" r:id="rId8"/>
    <sheet name="HISTORIAL DE CAMBIOS Y REEMPLAZ" sheetId="3" r:id="rId9"/>
    <sheet name="STOCK DISPOSITIVOS" sheetId="2" r:id="rId10"/>
    <sheet name="STOCK DISPOSITIVOS (2)" sheetId="6" state="hidden" r:id="rId11"/>
    <sheet name="Email Confirmacion" sheetId="7" r:id="rId12"/>
    <sheet name="DISCON or SUSPEND" sheetId="5" r:id="rId13"/>
    <sheet name="Sheet1" sheetId="4" r:id="rId14"/>
  </sheets>
  <externalReferences>
    <externalReference r:id="rId15"/>
  </externalReferences>
  <definedNames>
    <definedName name="_xlnm._FilterDatabase" localSheetId="4" hidden="1">'DISPOSITIVOS ACTIVOS'!$A$1:$O$160</definedName>
    <definedName name="_xlnm._FilterDatabase" localSheetId="11" hidden="1">'Email Confirmacion'!$A$1:$H$1</definedName>
    <definedName name="_xlnm._FilterDatabase" localSheetId="3" hidden="1">FACTURAS!$A$1:$O$392</definedName>
    <definedName name="_xlnm._FilterDatabase" localSheetId="5" hidden="1">'MIGRACION SEPTIEMBRE 2025'!$A$1:$O$163</definedName>
    <definedName name="_xlnm._FilterDatabase" localSheetId="1" hidden="1">Sheet2!$A$1:$V$320</definedName>
  </definedNames>
  <calcPr calcId="191028"/>
  <pivotCaches>
    <pivotCache cacheId="1" r:id="rId16"/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6" i="12" l="1"/>
  <c r="D344" i="12"/>
  <c r="E344" i="12"/>
  <c r="C344" i="12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2" i="12"/>
  <c r="O329" i="12"/>
  <c r="P329" i="12"/>
  <c r="O327" i="12"/>
  <c r="O331" i="12" s="1"/>
  <c r="O326" i="12"/>
  <c r="O325" i="12"/>
  <c r="P328" i="12"/>
  <c r="O328" i="12"/>
  <c r="P325" i="12"/>
  <c r="V3" i="12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2" i="12"/>
  <c r="O265" i="9" l="1"/>
  <c r="P265" i="9"/>
  <c r="Q265" i="9"/>
  <c r="R265" i="9" s="1"/>
  <c r="O266" i="9"/>
  <c r="P266" i="9"/>
  <c r="Q266" i="9"/>
  <c r="R266" i="9" s="1"/>
  <c r="O267" i="9"/>
  <c r="P267" i="9"/>
  <c r="Q267" i="9"/>
  <c r="R267" i="9" s="1"/>
  <c r="O268" i="9"/>
  <c r="P268" i="9"/>
  <c r="Q268" i="9"/>
  <c r="R268" i="9" s="1"/>
  <c r="O269" i="9"/>
  <c r="P269" i="9"/>
  <c r="Q269" i="9"/>
  <c r="R269" i="9" s="1"/>
  <c r="O270" i="9"/>
  <c r="P270" i="9"/>
  <c r="Q270" i="9"/>
  <c r="R270" i="9" s="1"/>
  <c r="O271" i="9"/>
  <c r="P271" i="9"/>
  <c r="Q271" i="9"/>
  <c r="R271" i="9" s="1"/>
  <c r="O272" i="9"/>
  <c r="P272" i="9"/>
  <c r="Q272" i="9"/>
  <c r="R272" i="9" s="1"/>
  <c r="O273" i="9"/>
  <c r="P273" i="9"/>
  <c r="Q273" i="9"/>
  <c r="R273" i="9" s="1"/>
  <c r="O274" i="9"/>
  <c r="P274" i="9"/>
  <c r="Q274" i="9"/>
  <c r="R274" i="9" s="1"/>
  <c r="O275" i="9"/>
  <c r="P275" i="9"/>
  <c r="Q275" i="9"/>
  <c r="R275" i="9" s="1"/>
  <c r="O276" i="9"/>
  <c r="P276" i="9"/>
  <c r="Q276" i="9"/>
  <c r="R276" i="9" s="1"/>
  <c r="O277" i="9"/>
  <c r="P277" i="9"/>
  <c r="Q277" i="9"/>
  <c r="R277" i="9" s="1"/>
  <c r="O278" i="9"/>
  <c r="P278" i="9"/>
  <c r="Q278" i="9"/>
  <c r="R278" i="9" s="1"/>
  <c r="O279" i="9"/>
  <c r="P279" i="9"/>
  <c r="Q279" i="9"/>
  <c r="R279" i="9" s="1"/>
  <c r="O280" i="9"/>
  <c r="P280" i="9"/>
  <c r="Q280" i="9"/>
  <c r="R280" i="9" s="1"/>
  <c r="O281" i="9"/>
  <c r="P281" i="9"/>
  <c r="Q281" i="9"/>
  <c r="R281" i="9" s="1"/>
  <c r="O282" i="9"/>
  <c r="P282" i="9"/>
  <c r="Q282" i="9"/>
  <c r="R282" i="9" s="1"/>
  <c r="O283" i="9"/>
  <c r="P283" i="9"/>
  <c r="Q283" i="9"/>
  <c r="R283" i="9" s="1"/>
  <c r="O284" i="9"/>
  <c r="P284" i="9"/>
  <c r="Q284" i="9"/>
  <c r="R284" i="9" s="1"/>
  <c r="O285" i="9"/>
  <c r="P285" i="9"/>
  <c r="Q285" i="9"/>
  <c r="R285" i="9" s="1"/>
  <c r="O286" i="9"/>
  <c r="P286" i="9"/>
  <c r="Q286" i="9"/>
  <c r="R286" i="9" s="1"/>
  <c r="O287" i="9"/>
  <c r="P287" i="9"/>
  <c r="Q287" i="9"/>
  <c r="R287" i="9" s="1"/>
  <c r="O288" i="9"/>
  <c r="P288" i="9"/>
  <c r="Q288" i="9"/>
  <c r="R288" i="9" s="1"/>
  <c r="O289" i="9"/>
  <c r="P289" i="9"/>
  <c r="Q289" i="9"/>
  <c r="R289" i="9" s="1"/>
  <c r="O290" i="9"/>
  <c r="P290" i="9"/>
  <c r="Q290" i="9"/>
  <c r="R290" i="9" s="1"/>
  <c r="O291" i="9"/>
  <c r="P291" i="9"/>
  <c r="Q291" i="9"/>
  <c r="R291" i="9" s="1"/>
  <c r="O292" i="9"/>
  <c r="P292" i="9"/>
  <c r="Q292" i="9"/>
  <c r="R292" i="9" s="1"/>
  <c r="O293" i="9"/>
  <c r="P293" i="9"/>
  <c r="Q293" i="9"/>
  <c r="R293" i="9" s="1"/>
  <c r="O294" i="9"/>
  <c r="P294" i="9"/>
  <c r="Q294" i="9"/>
  <c r="R294" i="9" s="1"/>
  <c r="O295" i="9"/>
  <c r="P295" i="9"/>
  <c r="Q295" i="9"/>
  <c r="R295" i="9" s="1"/>
  <c r="O296" i="9"/>
  <c r="P296" i="9"/>
  <c r="Q296" i="9"/>
  <c r="R296" i="9" s="1"/>
  <c r="O297" i="9"/>
  <c r="P297" i="9"/>
  <c r="Q297" i="9"/>
  <c r="R297" i="9" s="1"/>
  <c r="O298" i="9"/>
  <c r="P298" i="9"/>
  <c r="Q298" i="9"/>
  <c r="R298" i="9" s="1"/>
  <c r="O299" i="9"/>
  <c r="P299" i="9"/>
  <c r="Q299" i="9"/>
  <c r="R299" i="9" s="1"/>
  <c r="O300" i="9"/>
  <c r="P300" i="9"/>
  <c r="Q300" i="9"/>
  <c r="R300" i="9" s="1"/>
  <c r="O301" i="9"/>
  <c r="P301" i="9"/>
  <c r="Q301" i="9"/>
  <c r="R301" i="9" s="1"/>
  <c r="O302" i="9"/>
  <c r="P302" i="9"/>
  <c r="Q302" i="9"/>
  <c r="R302" i="9" s="1"/>
  <c r="O303" i="9"/>
  <c r="P303" i="9"/>
  <c r="Q303" i="9"/>
  <c r="R303" i="9" s="1"/>
  <c r="O304" i="9"/>
  <c r="P304" i="9"/>
  <c r="Q304" i="9"/>
  <c r="R304" i="9" s="1"/>
  <c r="O305" i="9"/>
  <c r="P305" i="9"/>
  <c r="Q305" i="9"/>
  <c r="R305" i="9" s="1"/>
  <c r="O306" i="9"/>
  <c r="P306" i="9"/>
  <c r="Q306" i="9"/>
  <c r="R306" i="9" s="1"/>
  <c r="O307" i="9"/>
  <c r="P307" i="9"/>
  <c r="Q307" i="9"/>
  <c r="R307" i="9" s="1"/>
  <c r="O308" i="9"/>
  <c r="P308" i="9"/>
  <c r="Q308" i="9"/>
  <c r="R308" i="9" s="1"/>
  <c r="O309" i="9"/>
  <c r="P309" i="9"/>
  <c r="Q309" i="9"/>
  <c r="R309" i="9" s="1"/>
  <c r="O310" i="9"/>
  <c r="P310" i="9"/>
  <c r="Q310" i="9"/>
  <c r="R310" i="9" s="1"/>
  <c r="O311" i="9"/>
  <c r="P311" i="9"/>
  <c r="Q311" i="9"/>
  <c r="R311" i="9" s="1"/>
  <c r="O312" i="9"/>
  <c r="P312" i="9"/>
  <c r="Q312" i="9"/>
  <c r="R312" i="9" s="1"/>
  <c r="O313" i="9"/>
  <c r="P313" i="9"/>
  <c r="Q313" i="9"/>
  <c r="R313" i="9" s="1"/>
  <c r="O314" i="9"/>
  <c r="P314" i="9"/>
  <c r="Q314" i="9"/>
  <c r="R314" i="9" s="1"/>
  <c r="O315" i="9"/>
  <c r="P315" i="9"/>
  <c r="Q315" i="9"/>
  <c r="R315" i="9" s="1"/>
  <c r="O316" i="9"/>
  <c r="P316" i="9"/>
  <c r="Q316" i="9"/>
  <c r="R316" i="9" s="1"/>
  <c r="O317" i="9"/>
  <c r="P317" i="9"/>
  <c r="Q317" i="9"/>
  <c r="R317" i="9" s="1"/>
  <c r="O318" i="9"/>
  <c r="P318" i="9"/>
  <c r="Q318" i="9"/>
  <c r="R318" i="9" s="1"/>
  <c r="O319" i="9"/>
  <c r="P319" i="9"/>
  <c r="Q319" i="9"/>
  <c r="R319" i="9" s="1"/>
  <c r="O320" i="9"/>
  <c r="P320" i="9"/>
  <c r="Q320" i="9"/>
  <c r="R320" i="9" s="1"/>
  <c r="O321" i="9"/>
  <c r="P321" i="9"/>
  <c r="Q321" i="9"/>
  <c r="R321" i="9" s="1"/>
  <c r="O322" i="9"/>
  <c r="P322" i="9"/>
  <c r="Q322" i="9"/>
  <c r="R322" i="9" s="1"/>
  <c r="O323" i="9"/>
  <c r="P323" i="9"/>
  <c r="Q323" i="9"/>
  <c r="R323" i="9" s="1"/>
  <c r="O324" i="9"/>
  <c r="P324" i="9"/>
  <c r="Q324" i="9"/>
  <c r="R324" i="9" s="1"/>
  <c r="O325" i="9"/>
  <c r="P325" i="9"/>
  <c r="Q325" i="9"/>
  <c r="R325" i="9" s="1"/>
  <c r="O326" i="9"/>
  <c r="P326" i="9"/>
  <c r="Q326" i="9"/>
  <c r="R326" i="9" s="1"/>
  <c r="O327" i="9"/>
  <c r="P327" i="9"/>
  <c r="Q327" i="9"/>
  <c r="R327" i="9" s="1"/>
  <c r="O328" i="9"/>
  <c r="P328" i="9"/>
  <c r="Q328" i="9"/>
  <c r="R328" i="9" s="1"/>
  <c r="O329" i="9"/>
  <c r="P329" i="9"/>
  <c r="Q329" i="9"/>
  <c r="R329" i="9" s="1"/>
  <c r="O330" i="9"/>
  <c r="P330" i="9"/>
  <c r="Q330" i="9"/>
  <c r="R330" i="9" s="1"/>
  <c r="O331" i="9"/>
  <c r="P331" i="9"/>
  <c r="Q331" i="9"/>
  <c r="R331" i="9" s="1"/>
  <c r="O332" i="9"/>
  <c r="P332" i="9"/>
  <c r="Q332" i="9"/>
  <c r="R332" i="9" s="1"/>
  <c r="O333" i="9"/>
  <c r="P333" i="9"/>
  <c r="Q333" i="9"/>
  <c r="R333" i="9" s="1"/>
  <c r="O334" i="9"/>
  <c r="P334" i="9"/>
  <c r="Q334" i="9"/>
  <c r="R334" i="9" s="1"/>
  <c r="O335" i="9"/>
  <c r="P335" i="9"/>
  <c r="Q335" i="9"/>
  <c r="R335" i="9" s="1"/>
  <c r="O336" i="9"/>
  <c r="P336" i="9"/>
  <c r="Q336" i="9"/>
  <c r="R336" i="9" s="1"/>
  <c r="O337" i="9"/>
  <c r="P337" i="9"/>
  <c r="Q337" i="9"/>
  <c r="R337" i="9" s="1"/>
  <c r="O338" i="9"/>
  <c r="P338" i="9"/>
  <c r="Q338" i="9"/>
  <c r="R338" i="9" s="1"/>
  <c r="O339" i="9"/>
  <c r="P339" i="9"/>
  <c r="Q339" i="9"/>
  <c r="R339" i="9" s="1"/>
  <c r="O340" i="9"/>
  <c r="P340" i="9"/>
  <c r="Q340" i="9"/>
  <c r="R340" i="9" s="1"/>
  <c r="O341" i="9"/>
  <c r="P341" i="9"/>
  <c r="Q341" i="9"/>
  <c r="R341" i="9" s="1"/>
  <c r="O342" i="9"/>
  <c r="P342" i="9"/>
  <c r="Q342" i="9"/>
  <c r="R342" i="9" s="1"/>
  <c r="O343" i="9"/>
  <c r="P343" i="9"/>
  <c r="Q343" i="9"/>
  <c r="R343" i="9" s="1"/>
  <c r="O344" i="9"/>
  <c r="P344" i="9"/>
  <c r="Q344" i="9"/>
  <c r="R344" i="9" s="1"/>
  <c r="O345" i="9"/>
  <c r="P345" i="9"/>
  <c r="Q345" i="9"/>
  <c r="R345" i="9" s="1"/>
  <c r="O346" i="9"/>
  <c r="P346" i="9"/>
  <c r="Q346" i="9"/>
  <c r="R346" i="9" s="1"/>
  <c r="O347" i="9"/>
  <c r="P347" i="9"/>
  <c r="Q347" i="9"/>
  <c r="R347" i="9" s="1"/>
  <c r="O348" i="9"/>
  <c r="P348" i="9"/>
  <c r="Q348" i="9"/>
  <c r="R348" i="9" s="1"/>
  <c r="O349" i="9"/>
  <c r="P349" i="9"/>
  <c r="Q349" i="9"/>
  <c r="R349" i="9" s="1"/>
  <c r="O350" i="9"/>
  <c r="P350" i="9"/>
  <c r="Q350" i="9"/>
  <c r="R350" i="9" s="1"/>
  <c r="O351" i="9"/>
  <c r="P351" i="9"/>
  <c r="Q351" i="9"/>
  <c r="R351" i="9" s="1"/>
  <c r="O352" i="9"/>
  <c r="P352" i="9"/>
  <c r="Q352" i="9"/>
  <c r="R352" i="9" s="1"/>
  <c r="O353" i="9"/>
  <c r="P353" i="9"/>
  <c r="Q353" i="9"/>
  <c r="R353" i="9" s="1"/>
  <c r="O354" i="9"/>
  <c r="P354" i="9"/>
  <c r="Q354" i="9"/>
  <c r="R354" i="9" s="1"/>
  <c r="O355" i="9"/>
  <c r="P355" i="9"/>
  <c r="Q355" i="9"/>
  <c r="R355" i="9" s="1"/>
  <c r="O356" i="9"/>
  <c r="P356" i="9"/>
  <c r="Q356" i="9"/>
  <c r="R356" i="9" s="1"/>
  <c r="O357" i="9"/>
  <c r="P357" i="9"/>
  <c r="Q357" i="9"/>
  <c r="R357" i="9" s="1"/>
  <c r="O358" i="9"/>
  <c r="P358" i="9"/>
  <c r="Q358" i="9"/>
  <c r="R358" i="9" s="1"/>
  <c r="O359" i="9"/>
  <c r="P359" i="9"/>
  <c r="Q359" i="9"/>
  <c r="R359" i="9" s="1"/>
  <c r="O360" i="9"/>
  <c r="P360" i="9"/>
  <c r="Q360" i="9"/>
  <c r="R360" i="9" s="1"/>
  <c r="O361" i="9"/>
  <c r="P361" i="9"/>
  <c r="Q361" i="9"/>
  <c r="R361" i="9" s="1"/>
  <c r="O362" i="9"/>
  <c r="P362" i="9"/>
  <c r="Q362" i="9"/>
  <c r="R362" i="9" s="1"/>
  <c r="O363" i="9"/>
  <c r="P363" i="9"/>
  <c r="Q363" i="9"/>
  <c r="R363" i="9" s="1"/>
  <c r="O364" i="9"/>
  <c r="P364" i="9"/>
  <c r="Q364" i="9"/>
  <c r="R364" i="9" s="1"/>
  <c r="O365" i="9"/>
  <c r="P365" i="9"/>
  <c r="Q365" i="9"/>
  <c r="R365" i="9" s="1"/>
  <c r="O366" i="9"/>
  <c r="P366" i="9"/>
  <c r="Q366" i="9"/>
  <c r="R366" i="9" s="1"/>
  <c r="O367" i="9"/>
  <c r="P367" i="9"/>
  <c r="Q367" i="9"/>
  <c r="R367" i="9" s="1"/>
  <c r="O368" i="9"/>
  <c r="P368" i="9"/>
  <c r="Q368" i="9"/>
  <c r="R368" i="9" s="1"/>
  <c r="O369" i="9"/>
  <c r="P369" i="9"/>
  <c r="Q369" i="9"/>
  <c r="R369" i="9" s="1"/>
  <c r="O370" i="9"/>
  <c r="P370" i="9"/>
  <c r="Q370" i="9"/>
  <c r="R370" i="9" s="1"/>
  <c r="O371" i="9"/>
  <c r="P371" i="9"/>
  <c r="Q371" i="9"/>
  <c r="R371" i="9" s="1"/>
  <c r="O372" i="9"/>
  <c r="P372" i="9"/>
  <c r="Q372" i="9"/>
  <c r="R372" i="9" s="1"/>
  <c r="O373" i="9"/>
  <c r="P373" i="9"/>
  <c r="Q373" i="9"/>
  <c r="R373" i="9" s="1"/>
  <c r="O374" i="9"/>
  <c r="P374" i="9"/>
  <c r="Q374" i="9"/>
  <c r="R374" i="9" s="1"/>
  <c r="O375" i="9"/>
  <c r="P375" i="9"/>
  <c r="Q375" i="9"/>
  <c r="R375" i="9" s="1"/>
  <c r="O376" i="9"/>
  <c r="P376" i="9"/>
  <c r="Q376" i="9"/>
  <c r="R376" i="9" s="1"/>
  <c r="O377" i="9"/>
  <c r="P377" i="9"/>
  <c r="Q377" i="9"/>
  <c r="R377" i="9" s="1"/>
  <c r="O378" i="9"/>
  <c r="P378" i="9"/>
  <c r="Q378" i="9"/>
  <c r="R378" i="9" s="1"/>
  <c r="O379" i="9"/>
  <c r="P379" i="9"/>
  <c r="Q379" i="9"/>
  <c r="R379" i="9" s="1"/>
  <c r="O380" i="9"/>
  <c r="P380" i="9"/>
  <c r="Q380" i="9"/>
  <c r="R380" i="9" s="1"/>
  <c r="O381" i="9"/>
  <c r="P381" i="9"/>
  <c r="Q381" i="9"/>
  <c r="R381" i="9" s="1"/>
  <c r="O382" i="9"/>
  <c r="P382" i="9"/>
  <c r="Q382" i="9"/>
  <c r="R382" i="9" s="1"/>
  <c r="O383" i="9"/>
  <c r="P383" i="9"/>
  <c r="Q383" i="9"/>
  <c r="R383" i="9" s="1"/>
  <c r="O384" i="9"/>
  <c r="P384" i="9"/>
  <c r="Q384" i="9"/>
  <c r="R384" i="9" s="1"/>
  <c r="O385" i="9"/>
  <c r="P385" i="9"/>
  <c r="Q385" i="9"/>
  <c r="R385" i="9" s="1"/>
  <c r="O386" i="9"/>
  <c r="P386" i="9"/>
  <c r="Q386" i="9"/>
  <c r="R386" i="9" s="1"/>
  <c r="O387" i="9"/>
  <c r="P387" i="9"/>
  <c r="Q387" i="9"/>
  <c r="R387" i="9" s="1"/>
  <c r="O388" i="9"/>
  <c r="P388" i="9"/>
  <c r="Q388" i="9"/>
  <c r="R388" i="9" s="1"/>
  <c r="O389" i="9"/>
  <c r="P389" i="9"/>
  <c r="Q389" i="9"/>
  <c r="R389" i="9" s="1"/>
  <c r="O390" i="9"/>
  <c r="P390" i="9"/>
  <c r="Q390" i="9"/>
  <c r="R390" i="9" s="1"/>
  <c r="O391" i="9"/>
  <c r="P391" i="9"/>
  <c r="Q391" i="9"/>
  <c r="R391" i="9" s="1"/>
  <c r="O392" i="9"/>
  <c r="P392" i="9"/>
  <c r="Q392" i="9"/>
  <c r="R392" i="9" s="1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265" i="9"/>
  <c r="Q46" i="9"/>
  <c r="R46" i="9" s="1"/>
  <c r="Q47" i="9"/>
  <c r="R47" i="9" s="1"/>
  <c r="Q48" i="9"/>
  <c r="R48" i="9" s="1"/>
  <c r="Q49" i="9"/>
  <c r="Q50" i="9"/>
  <c r="R50" i="9" s="1"/>
  <c r="Q51" i="9"/>
  <c r="R51" i="9" s="1"/>
  <c r="Q52" i="9"/>
  <c r="Q53" i="9"/>
  <c r="R53" i="9" s="1"/>
  <c r="Q54" i="9"/>
  <c r="R54" i="9" s="1"/>
  <c r="Q55" i="9"/>
  <c r="R55" i="9" s="1"/>
  <c r="Q56" i="9"/>
  <c r="R56" i="9" s="1"/>
  <c r="Q57" i="9"/>
  <c r="R57" i="9" s="1"/>
  <c r="Q58" i="9"/>
  <c r="R58" i="9" s="1"/>
  <c r="Q59" i="9"/>
  <c r="R59" i="9" s="1"/>
  <c r="Q60" i="9"/>
  <c r="R60" i="9" s="1"/>
  <c r="Q61" i="9"/>
  <c r="R61" i="9" s="1"/>
  <c r="Q62" i="9"/>
  <c r="R62" i="9" s="1"/>
  <c r="Q63" i="9"/>
  <c r="R63" i="9" s="1"/>
  <c r="Q64" i="9"/>
  <c r="R64" i="9" s="1"/>
  <c r="Q65" i="9"/>
  <c r="R65" i="9" s="1"/>
  <c r="Q66" i="9"/>
  <c r="R66" i="9" s="1"/>
  <c r="Q67" i="9"/>
  <c r="R67" i="9" s="1"/>
  <c r="Q68" i="9"/>
  <c r="R68" i="9" s="1"/>
  <c r="Q69" i="9"/>
  <c r="R69" i="9" s="1"/>
  <c r="Q70" i="9"/>
  <c r="R70" i="9" s="1"/>
  <c r="Q71" i="9"/>
  <c r="R71" i="9" s="1"/>
  <c r="Q72" i="9"/>
  <c r="R72" i="9" s="1"/>
  <c r="Q73" i="9"/>
  <c r="R73" i="9" s="1"/>
  <c r="Q74" i="9"/>
  <c r="Q75" i="9"/>
  <c r="Q76" i="9"/>
  <c r="Q77" i="9"/>
  <c r="R77" i="9" s="1"/>
  <c r="Q78" i="9"/>
  <c r="R78" i="9" s="1"/>
  <c r="Q79" i="9"/>
  <c r="R79" i="9" s="1"/>
  <c r="Q80" i="9"/>
  <c r="R80" i="9" s="1"/>
  <c r="Q81" i="9"/>
  <c r="R81" i="9" s="1"/>
  <c r="Q82" i="9"/>
  <c r="R82" i="9" s="1"/>
  <c r="Q83" i="9"/>
  <c r="R83" i="9" s="1"/>
  <c r="Q84" i="9"/>
  <c r="R84" i="9" s="1"/>
  <c r="Q85" i="9"/>
  <c r="R85" i="9" s="1"/>
  <c r="Q86" i="9"/>
  <c r="R86" i="9" s="1"/>
  <c r="Q87" i="9"/>
  <c r="R87" i="9" s="1"/>
  <c r="Q88" i="9"/>
  <c r="Q89" i="9"/>
  <c r="R89" i="9" s="1"/>
  <c r="Q90" i="9"/>
  <c r="R90" i="9" s="1"/>
  <c r="Q91" i="9"/>
  <c r="R91" i="9" s="1"/>
  <c r="Q92" i="9"/>
  <c r="R92" i="9" s="1"/>
  <c r="Q93" i="9"/>
  <c r="R93" i="9" s="1"/>
  <c r="Q94" i="9"/>
  <c r="R94" i="9" s="1"/>
  <c r="Q95" i="9"/>
  <c r="R95" i="9" s="1"/>
  <c r="Q96" i="9"/>
  <c r="R96" i="9" s="1"/>
  <c r="Q97" i="9"/>
  <c r="R97" i="9" s="1"/>
  <c r="Q98" i="9"/>
  <c r="R98" i="9" s="1"/>
  <c r="Q99" i="9"/>
  <c r="R99" i="9" s="1"/>
  <c r="Q100" i="9"/>
  <c r="R100" i="9" s="1"/>
  <c r="Q101" i="9"/>
  <c r="R101" i="9" s="1"/>
  <c r="Q102" i="9"/>
  <c r="R102" i="9" s="1"/>
  <c r="Q103" i="9"/>
  <c r="R103" i="9" s="1"/>
  <c r="Q104" i="9"/>
  <c r="R104" i="9" s="1"/>
  <c r="Q105" i="9"/>
  <c r="R105" i="9" s="1"/>
  <c r="Q106" i="9"/>
  <c r="R106" i="9" s="1"/>
  <c r="Q107" i="9"/>
  <c r="R107" i="9" s="1"/>
  <c r="Q108" i="9"/>
  <c r="R108" i="9" s="1"/>
  <c r="Q109" i="9"/>
  <c r="R109" i="9" s="1"/>
  <c r="Q110" i="9"/>
  <c r="R110" i="9" s="1"/>
  <c r="Q111" i="9"/>
  <c r="R111" i="9" s="1"/>
  <c r="Q112" i="9"/>
  <c r="R112" i="9" s="1"/>
  <c r="Q113" i="9"/>
  <c r="R113" i="9" s="1"/>
  <c r="Q114" i="9"/>
  <c r="R114" i="9" s="1"/>
  <c r="Q115" i="9"/>
  <c r="R115" i="9" s="1"/>
  <c r="Q116" i="9"/>
  <c r="R116" i="9" s="1"/>
  <c r="Q117" i="9"/>
  <c r="R117" i="9" s="1"/>
  <c r="Q118" i="9"/>
  <c r="R118" i="9" s="1"/>
  <c r="Q119" i="9"/>
  <c r="R119" i="9" s="1"/>
  <c r="Q120" i="9"/>
  <c r="R120" i="9" s="1"/>
  <c r="Q121" i="9"/>
  <c r="R121" i="9" s="1"/>
  <c r="Q122" i="9"/>
  <c r="R122" i="9" s="1"/>
  <c r="Q123" i="9"/>
  <c r="R123" i="9" s="1"/>
  <c r="Q124" i="9"/>
  <c r="R124" i="9" s="1"/>
  <c r="Q125" i="9"/>
  <c r="R125" i="9" s="1"/>
  <c r="Q126" i="9"/>
  <c r="R126" i="9" s="1"/>
  <c r="Q127" i="9"/>
  <c r="Q128" i="9"/>
  <c r="Q129" i="9"/>
  <c r="Q130" i="9"/>
  <c r="Q131" i="9"/>
  <c r="Q132" i="9"/>
  <c r="Q133" i="9"/>
  <c r="Q134" i="9"/>
  <c r="Q135" i="9"/>
  <c r="Q136" i="9"/>
  <c r="Q137" i="9"/>
  <c r="Q138" i="9"/>
  <c r="R138" i="9" s="1"/>
  <c r="Q139" i="9"/>
  <c r="R139" i="9" s="1"/>
  <c r="Q140" i="9"/>
  <c r="R140" i="9" s="1"/>
  <c r="Q141" i="9"/>
  <c r="R141" i="9" s="1"/>
  <c r="Q142" i="9"/>
  <c r="R142" i="9" s="1"/>
  <c r="Q143" i="9"/>
  <c r="R143" i="9" s="1"/>
  <c r="Q144" i="9"/>
  <c r="R144" i="9" s="1"/>
  <c r="Q145" i="9"/>
  <c r="R145" i="9" s="1"/>
  <c r="Q146" i="9"/>
  <c r="R146" i="9" s="1"/>
  <c r="Q147" i="9"/>
  <c r="R147" i="9" s="1"/>
  <c r="Q148" i="9"/>
  <c r="R148" i="9" s="1"/>
  <c r="Q149" i="9"/>
  <c r="Q150" i="9"/>
  <c r="Q151" i="9"/>
  <c r="R151" i="9" s="1"/>
  <c r="Q152" i="9"/>
  <c r="R152" i="9" s="1"/>
  <c r="Q153" i="9"/>
  <c r="Q154" i="9"/>
  <c r="R154" i="9" s="1"/>
  <c r="Q155" i="9"/>
  <c r="R155" i="9" s="1"/>
  <c r="Q156" i="9"/>
  <c r="Q157" i="9"/>
  <c r="R157" i="9" s="1"/>
  <c r="Q158" i="9"/>
  <c r="R158" i="9" s="1"/>
  <c r="Q159" i="9"/>
  <c r="R159" i="9" s="1"/>
  <c r="Q160" i="9"/>
  <c r="R160" i="9" s="1"/>
  <c r="Q161" i="9"/>
  <c r="R161" i="9" s="1"/>
  <c r="Q162" i="9"/>
  <c r="R162" i="9" s="1"/>
  <c r="Q163" i="9"/>
  <c r="R163" i="9" s="1"/>
  <c r="Q164" i="9"/>
  <c r="R164" i="9" s="1"/>
  <c r="Q165" i="9"/>
  <c r="Q166" i="9"/>
  <c r="R166" i="9" s="1"/>
  <c r="Q167" i="9"/>
  <c r="R167" i="9" s="1"/>
  <c r="Q168" i="9"/>
  <c r="R168" i="9" s="1"/>
  <c r="Q169" i="9"/>
  <c r="R169" i="9" s="1"/>
  <c r="Q170" i="9"/>
  <c r="R170" i="9" s="1"/>
  <c r="Q171" i="9"/>
  <c r="R171" i="9" s="1"/>
  <c r="Q172" i="9"/>
  <c r="R172" i="9" s="1"/>
  <c r="Q173" i="9"/>
  <c r="R173" i="9" s="1"/>
  <c r="Q174" i="9"/>
  <c r="R174" i="9" s="1"/>
  <c r="Q175" i="9"/>
  <c r="Q176" i="9"/>
  <c r="R176" i="9" s="1"/>
  <c r="Q177" i="9"/>
  <c r="R177" i="9" s="1"/>
  <c r="Q178" i="9"/>
  <c r="R178" i="9" s="1"/>
  <c r="Q179" i="9"/>
  <c r="R179" i="9" s="1"/>
  <c r="Q180" i="9"/>
  <c r="R180" i="9" s="1"/>
  <c r="Q181" i="9"/>
  <c r="R181" i="9" s="1"/>
  <c r="Q182" i="9"/>
  <c r="R182" i="9" s="1"/>
  <c r="Q183" i="9"/>
  <c r="R183" i="9" s="1"/>
  <c r="Q184" i="9"/>
  <c r="R184" i="9" s="1"/>
  <c r="Q185" i="9"/>
  <c r="R185" i="9" s="1"/>
  <c r="Q186" i="9"/>
  <c r="R186" i="9" s="1"/>
  <c r="Q187" i="9"/>
  <c r="R187" i="9" s="1"/>
  <c r="Q188" i="9"/>
  <c r="R188" i="9" s="1"/>
  <c r="Q189" i="9"/>
  <c r="R189" i="9" s="1"/>
  <c r="Q190" i="9"/>
  <c r="R190" i="9" s="1"/>
  <c r="Q191" i="9"/>
  <c r="R191" i="9" s="1"/>
  <c r="Q192" i="9"/>
  <c r="R192" i="9" s="1"/>
  <c r="Q193" i="9"/>
  <c r="R193" i="9" s="1"/>
  <c r="Q194" i="9"/>
  <c r="R194" i="9" s="1"/>
  <c r="Q195" i="9"/>
  <c r="R195" i="9" s="1"/>
  <c r="Q196" i="9"/>
  <c r="R196" i="9" s="1"/>
  <c r="Q197" i="9"/>
  <c r="Q198" i="9"/>
  <c r="Q199" i="9"/>
  <c r="R199" i="9" s="1"/>
  <c r="Q200" i="9"/>
  <c r="R200" i="9" s="1"/>
  <c r="Q201" i="9"/>
  <c r="R201" i="9" s="1"/>
  <c r="Q202" i="9"/>
  <c r="R202" i="9" s="1"/>
  <c r="Q203" i="9"/>
  <c r="R203" i="9" s="1"/>
  <c r="Q204" i="9"/>
  <c r="R204" i="9" s="1"/>
  <c r="Q205" i="9"/>
  <c r="R205" i="9" s="1"/>
  <c r="Q206" i="9"/>
  <c r="R206" i="9" s="1"/>
  <c r="Q207" i="9"/>
  <c r="R207" i="9" s="1"/>
  <c r="Q208" i="9"/>
  <c r="R208" i="9" s="1"/>
  <c r="Q209" i="9"/>
  <c r="R209" i="9" s="1"/>
  <c r="Q210" i="9"/>
  <c r="R210" i="9" s="1"/>
  <c r="Q211" i="9"/>
  <c r="R211" i="9" s="1"/>
  <c r="Q212" i="9"/>
  <c r="Q213" i="9"/>
  <c r="R213" i="9" s="1"/>
  <c r="Q214" i="9"/>
  <c r="R214" i="9" s="1"/>
  <c r="Q215" i="9"/>
  <c r="R215" i="9" s="1"/>
  <c r="Q216" i="9"/>
  <c r="R216" i="9" s="1"/>
  <c r="Q217" i="9"/>
  <c r="R217" i="9" s="1"/>
  <c r="Q218" i="9"/>
  <c r="R218" i="9" s="1"/>
  <c r="Q219" i="9"/>
  <c r="R219" i="9" s="1"/>
  <c r="Q220" i="9"/>
  <c r="R220" i="9" s="1"/>
  <c r="Q221" i="9"/>
  <c r="R221" i="9" s="1"/>
  <c r="Q222" i="9"/>
  <c r="R222" i="9" s="1"/>
  <c r="Q223" i="9"/>
  <c r="R223" i="9" s="1"/>
  <c r="Q224" i="9"/>
  <c r="R224" i="9" s="1"/>
  <c r="Q225" i="9"/>
  <c r="R225" i="9" s="1"/>
  <c r="Q226" i="9"/>
  <c r="R226" i="9" s="1"/>
  <c r="Q227" i="9"/>
  <c r="R227" i="9" s="1"/>
  <c r="Q228" i="9"/>
  <c r="R228" i="9" s="1"/>
  <c r="Q229" i="9"/>
  <c r="R229" i="9" s="1"/>
  <c r="Q230" i="9"/>
  <c r="R230" i="9" s="1"/>
  <c r="Q231" i="9"/>
  <c r="R231" i="9" s="1"/>
  <c r="Q232" i="9"/>
  <c r="R232" i="9" s="1"/>
  <c r="Q233" i="9"/>
  <c r="R233" i="9" s="1"/>
  <c r="Q234" i="9"/>
  <c r="R234" i="9" s="1"/>
  <c r="Q235" i="9"/>
  <c r="R235" i="9" s="1"/>
  <c r="Q236" i="9"/>
  <c r="R236" i="9" s="1"/>
  <c r="Q237" i="9"/>
  <c r="Q238" i="9"/>
  <c r="R238" i="9" s="1"/>
  <c r="Q239" i="9"/>
  <c r="R239" i="9" s="1"/>
  <c r="Q240" i="9"/>
  <c r="R240" i="9" s="1"/>
  <c r="Q241" i="9"/>
  <c r="R241" i="9" s="1"/>
  <c r="Q242" i="9"/>
  <c r="R242" i="9" s="1"/>
  <c r="Q243" i="9"/>
  <c r="R243" i="9" s="1"/>
  <c r="Q244" i="9"/>
  <c r="R244" i="9" s="1"/>
  <c r="Q245" i="9"/>
  <c r="R245" i="9" s="1"/>
  <c r="Q246" i="9"/>
  <c r="R246" i="9" s="1"/>
  <c r="Q247" i="9"/>
  <c r="R247" i="9" s="1"/>
  <c r="Q248" i="9"/>
  <c r="R248" i="9" s="1"/>
  <c r="Q249" i="9"/>
  <c r="R249" i="9" s="1"/>
  <c r="Q250" i="9"/>
  <c r="R250" i="9" s="1"/>
  <c r="Q251" i="9"/>
  <c r="R251" i="9" s="1"/>
  <c r="Q252" i="9"/>
  <c r="R252" i="9" s="1"/>
  <c r="Q253" i="9"/>
  <c r="R253" i="9" s="1"/>
  <c r="Q254" i="9"/>
  <c r="R254" i="9" s="1"/>
  <c r="Q255" i="9"/>
  <c r="R255" i="9" s="1"/>
  <c r="Q256" i="9"/>
  <c r="Q257" i="9"/>
  <c r="R257" i="9" s="1"/>
  <c r="Q258" i="9"/>
  <c r="R258" i="9" s="1"/>
  <c r="Q259" i="9"/>
  <c r="R259" i="9" s="1"/>
  <c r="Q260" i="9"/>
  <c r="R260" i="9" s="1"/>
  <c r="Q261" i="9"/>
  <c r="R261" i="9" s="1"/>
  <c r="Q262" i="9"/>
  <c r="R262" i="9" s="1"/>
  <c r="Q263" i="9"/>
  <c r="R263" i="9" s="1"/>
  <c r="Q264" i="9"/>
  <c r="R264" i="9" s="1"/>
  <c r="R175" i="9"/>
  <c r="R165" i="9"/>
  <c r="R256" i="9"/>
  <c r="R237" i="9"/>
  <c r="R212" i="9"/>
  <c r="R197" i="9"/>
  <c r="R198" i="9"/>
  <c r="R127" i="9"/>
  <c r="R128" i="9"/>
  <c r="R129" i="9"/>
  <c r="R130" i="9"/>
  <c r="R131" i="9"/>
  <c r="R132" i="9"/>
  <c r="R133" i="9"/>
  <c r="R134" i="9"/>
  <c r="R135" i="9"/>
  <c r="R136" i="9"/>
  <c r="R137" i="9"/>
  <c r="R149" i="9"/>
  <c r="R150" i="9"/>
  <c r="R153" i="9"/>
  <c r="R49" i="9"/>
  <c r="R52" i="9"/>
  <c r="R74" i="9"/>
  <c r="R75" i="9"/>
  <c r="R76" i="9"/>
  <c r="R88" i="9"/>
  <c r="R156" i="9"/>
  <c r="Q3" i="9"/>
  <c r="R3" i="9" s="1"/>
  <c r="Q4" i="9"/>
  <c r="R4" i="9" s="1"/>
  <c r="Q5" i="9"/>
  <c r="R5" i="9" s="1"/>
  <c r="Q6" i="9"/>
  <c r="R6" i="9" s="1"/>
  <c r="Q7" i="9"/>
  <c r="R7" i="9" s="1"/>
  <c r="Q8" i="9"/>
  <c r="R8" i="9" s="1"/>
  <c r="Q9" i="9"/>
  <c r="R9" i="9" s="1"/>
  <c r="Q10" i="9"/>
  <c r="R10" i="9" s="1"/>
  <c r="Q11" i="9"/>
  <c r="R11" i="9" s="1"/>
  <c r="Q12" i="9"/>
  <c r="R12" i="9" s="1"/>
  <c r="Q13" i="9"/>
  <c r="R13" i="9" s="1"/>
  <c r="Q14" i="9"/>
  <c r="R14" i="9" s="1"/>
  <c r="Q15" i="9"/>
  <c r="R15" i="9" s="1"/>
  <c r="Q16" i="9"/>
  <c r="R16" i="9" s="1"/>
  <c r="Q17" i="9"/>
  <c r="R17" i="9" s="1"/>
  <c r="Q18" i="9"/>
  <c r="R18" i="9" s="1"/>
  <c r="Q19" i="9"/>
  <c r="R19" i="9" s="1"/>
  <c r="Q20" i="9"/>
  <c r="R20" i="9" s="1"/>
  <c r="Q21" i="9"/>
  <c r="R21" i="9" s="1"/>
  <c r="Q22" i="9"/>
  <c r="R22" i="9" s="1"/>
  <c r="Q23" i="9"/>
  <c r="R23" i="9" s="1"/>
  <c r="Q24" i="9"/>
  <c r="R24" i="9" s="1"/>
  <c r="Q25" i="9"/>
  <c r="R25" i="9" s="1"/>
  <c r="Q26" i="9"/>
  <c r="R26" i="9" s="1"/>
  <c r="Q27" i="9"/>
  <c r="R27" i="9" s="1"/>
  <c r="Q28" i="9"/>
  <c r="R28" i="9" s="1"/>
  <c r="Q29" i="9"/>
  <c r="R29" i="9" s="1"/>
  <c r="Q30" i="9"/>
  <c r="R30" i="9" s="1"/>
  <c r="Q31" i="9"/>
  <c r="R31" i="9" s="1"/>
  <c r="Q32" i="9"/>
  <c r="R32" i="9" s="1"/>
  <c r="Q33" i="9"/>
  <c r="R33" i="9" s="1"/>
  <c r="Q34" i="9"/>
  <c r="R34" i="9" s="1"/>
  <c r="Q35" i="9"/>
  <c r="R35" i="9" s="1"/>
  <c r="Q36" i="9"/>
  <c r="R36" i="9" s="1"/>
  <c r="Q37" i="9"/>
  <c r="R37" i="9" s="1"/>
  <c r="Q38" i="9"/>
  <c r="R38" i="9" s="1"/>
  <c r="Q39" i="9"/>
  <c r="R39" i="9" s="1"/>
  <c r="Q40" i="9"/>
  <c r="R40" i="9" s="1"/>
  <c r="Q41" i="9"/>
  <c r="R41" i="9" s="1"/>
  <c r="Q42" i="9"/>
  <c r="R42" i="9" s="1"/>
  <c r="Q43" i="9"/>
  <c r="R43" i="9" s="1"/>
  <c r="Q44" i="9"/>
  <c r="R44" i="9" s="1"/>
  <c r="Q45" i="9"/>
  <c r="R45" i="9" s="1"/>
  <c r="Q2" i="9"/>
  <c r="R2" i="9" s="1"/>
  <c r="M23" i="9" l="1"/>
  <c r="M2" i="9"/>
  <c r="O123" i="9"/>
  <c r="P123" i="9"/>
  <c r="O124" i="9"/>
  <c r="P124" i="9"/>
  <c r="O125" i="9"/>
  <c r="P125" i="9"/>
  <c r="O126" i="9"/>
  <c r="P126" i="9"/>
  <c r="O127" i="9"/>
  <c r="P127" i="9"/>
  <c r="O128" i="9"/>
  <c r="P128" i="9"/>
  <c r="O129" i="9"/>
  <c r="P129" i="9"/>
  <c r="O130" i="9"/>
  <c r="P130" i="9"/>
  <c r="O131" i="9"/>
  <c r="P131" i="9"/>
  <c r="O132" i="9"/>
  <c r="P132" i="9"/>
  <c r="O133" i="9"/>
  <c r="P133" i="9"/>
  <c r="O134" i="9"/>
  <c r="P134" i="9"/>
  <c r="O135" i="9"/>
  <c r="P135" i="9"/>
  <c r="O136" i="9"/>
  <c r="P136" i="9"/>
  <c r="O137" i="9"/>
  <c r="P137" i="9"/>
  <c r="N138" i="9"/>
  <c r="O138" i="9"/>
  <c r="P138" i="9"/>
  <c r="N139" i="9"/>
  <c r="O139" i="9"/>
  <c r="P139" i="9"/>
  <c r="N140" i="9"/>
  <c r="O140" i="9"/>
  <c r="P140" i="9"/>
  <c r="N141" i="9"/>
  <c r="O141" i="9"/>
  <c r="P141" i="9"/>
  <c r="N142" i="9"/>
  <c r="O142" i="9"/>
  <c r="P142" i="9"/>
  <c r="N143" i="9"/>
  <c r="O143" i="9"/>
  <c r="P143" i="9"/>
  <c r="N144" i="9"/>
  <c r="O144" i="9"/>
  <c r="P144" i="9"/>
  <c r="N145" i="9"/>
  <c r="O145" i="9"/>
  <c r="P145" i="9"/>
  <c r="N146" i="9"/>
  <c r="O146" i="9"/>
  <c r="P146" i="9"/>
  <c r="N147" i="9"/>
  <c r="O147" i="9"/>
  <c r="P147" i="9"/>
  <c r="N148" i="9"/>
  <c r="O148" i="9"/>
  <c r="P148" i="9"/>
  <c r="N149" i="9"/>
  <c r="O149" i="9"/>
  <c r="P149" i="9"/>
  <c r="N150" i="9"/>
  <c r="O150" i="9"/>
  <c r="P150" i="9"/>
  <c r="N151" i="9"/>
  <c r="O151" i="9"/>
  <c r="P151" i="9"/>
  <c r="N152" i="9"/>
  <c r="O152" i="9"/>
  <c r="P152" i="9"/>
  <c r="N153" i="9"/>
  <c r="O153" i="9"/>
  <c r="P153" i="9"/>
  <c r="N154" i="9"/>
  <c r="O154" i="9"/>
  <c r="P154" i="9"/>
  <c r="N155" i="9"/>
  <c r="O155" i="9"/>
  <c r="P155" i="9"/>
  <c r="N156" i="9"/>
  <c r="O156" i="9"/>
  <c r="P156" i="9"/>
  <c r="N157" i="9"/>
  <c r="O157" i="9"/>
  <c r="P157" i="9"/>
  <c r="N158" i="9"/>
  <c r="O158" i="9"/>
  <c r="P158" i="9"/>
  <c r="N159" i="9"/>
  <c r="O159" i="9"/>
  <c r="P159" i="9"/>
  <c r="N160" i="9"/>
  <c r="O160" i="9"/>
  <c r="P160" i="9"/>
  <c r="N161" i="9"/>
  <c r="O161" i="9"/>
  <c r="P161" i="9"/>
  <c r="N162" i="9"/>
  <c r="O162" i="9"/>
  <c r="P162" i="9"/>
  <c r="N163" i="9"/>
  <c r="O163" i="9"/>
  <c r="P163" i="9"/>
  <c r="N164" i="9"/>
  <c r="O164" i="9"/>
  <c r="P164" i="9"/>
  <c r="N165" i="9"/>
  <c r="O165" i="9"/>
  <c r="P165" i="9"/>
  <c r="N166" i="9"/>
  <c r="O166" i="9"/>
  <c r="P166" i="9"/>
  <c r="N167" i="9"/>
  <c r="O167" i="9"/>
  <c r="P167" i="9"/>
  <c r="N168" i="9"/>
  <c r="O168" i="9"/>
  <c r="P168" i="9"/>
  <c r="N169" i="9"/>
  <c r="O169" i="9"/>
  <c r="P169" i="9"/>
  <c r="N170" i="9"/>
  <c r="O170" i="9"/>
  <c r="P170" i="9"/>
  <c r="N171" i="9"/>
  <c r="O171" i="9"/>
  <c r="P171" i="9"/>
  <c r="N172" i="9"/>
  <c r="O172" i="9"/>
  <c r="P172" i="9"/>
  <c r="N173" i="9"/>
  <c r="O173" i="9"/>
  <c r="P173" i="9"/>
  <c r="N174" i="9"/>
  <c r="O174" i="9"/>
  <c r="P174" i="9"/>
  <c r="N175" i="9"/>
  <c r="O175" i="9"/>
  <c r="P175" i="9"/>
  <c r="N176" i="9"/>
  <c r="O176" i="9"/>
  <c r="P176" i="9"/>
  <c r="N177" i="9"/>
  <c r="O177" i="9"/>
  <c r="P177" i="9"/>
  <c r="O178" i="9"/>
  <c r="P178" i="9"/>
  <c r="N179" i="9"/>
  <c r="O179" i="9"/>
  <c r="P179" i="9"/>
  <c r="N180" i="9"/>
  <c r="O180" i="9"/>
  <c r="P180" i="9"/>
  <c r="N181" i="9"/>
  <c r="O181" i="9"/>
  <c r="P181" i="9"/>
  <c r="N182" i="9"/>
  <c r="O182" i="9"/>
  <c r="P182" i="9"/>
  <c r="N183" i="9"/>
  <c r="O183" i="9"/>
  <c r="P183" i="9"/>
  <c r="N184" i="9"/>
  <c r="O184" i="9"/>
  <c r="P184" i="9"/>
  <c r="N185" i="9"/>
  <c r="O185" i="9"/>
  <c r="P185" i="9"/>
  <c r="N186" i="9"/>
  <c r="O186" i="9"/>
  <c r="P186" i="9"/>
  <c r="N187" i="9"/>
  <c r="O187" i="9"/>
  <c r="P187" i="9"/>
  <c r="N188" i="9"/>
  <c r="O188" i="9"/>
  <c r="P188" i="9"/>
  <c r="N189" i="9"/>
  <c r="O189" i="9"/>
  <c r="P189" i="9"/>
  <c r="N190" i="9"/>
  <c r="O190" i="9"/>
  <c r="P190" i="9"/>
  <c r="N191" i="9"/>
  <c r="O191" i="9"/>
  <c r="P191" i="9"/>
  <c r="N192" i="9"/>
  <c r="O192" i="9"/>
  <c r="P192" i="9"/>
  <c r="N193" i="9"/>
  <c r="O193" i="9"/>
  <c r="P193" i="9"/>
  <c r="N194" i="9"/>
  <c r="O194" i="9"/>
  <c r="P194" i="9"/>
  <c r="N195" i="9"/>
  <c r="O195" i="9"/>
  <c r="P195" i="9"/>
  <c r="N196" i="9"/>
  <c r="O196" i="9"/>
  <c r="P196" i="9"/>
  <c r="O197" i="9"/>
  <c r="P197" i="9"/>
  <c r="O198" i="9"/>
  <c r="P198" i="9"/>
  <c r="O199" i="9"/>
  <c r="P199" i="9"/>
  <c r="O200" i="9"/>
  <c r="P200" i="9"/>
  <c r="N201" i="9"/>
  <c r="O201" i="9"/>
  <c r="P201" i="9"/>
  <c r="N202" i="9"/>
  <c r="O202" i="9"/>
  <c r="P202" i="9"/>
  <c r="N203" i="9"/>
  <c r="O203" i="9"/>
  <c r="P203" i="9"/>
  <c r="N204" i="9"/>
  <c r="O204" i="9"/>
  <c r="P204" i="9"/>
  <c r="N205" i="9"/>
  <c r="O205" i="9"/>
  <c r="P205" i="9"/>
  <c r="N206" i="9"/>
  <c r="O206" i="9"/>
  <c r="P206" i="9"/>
  <c r="N207" i="9"/>
  <c r="O207" i="9"/>
  <c r="P207" i="9"/>
  <c r="N208" i="9"/>
  <c r="O208" i="9"/>
  <c r="P208" i="9"/>
  <c r="O209" i="9"/>
  <c r="P209" i="9"/>
  <c r="N210" i="9"/>
  <c r="O210" i="9"/>
  <c r="P210" i="9"/>
  <c r="N211" i="9"/>
  <c r="O211" i="9"/>
  <c r="P211" i="9"/>
  <c r="O212" i="9"/>
  <c r="P212" i="9"/>
  <c r="N213" i="9"/>
  <c r="O213" i="9"/>
  <c r="P213" i="9"/>
  <c r="N214" i="9"/>
  <c r="O214" i="9"/>
  <c r="P214" i="9"/>
  <c r="N215" i="9"/>
  <c r="O215" i="9"/>
  <c r="P215" i="9"/>
  <c r="N216" i="9"/>
  <c r="O216" i="9"/>
  <c r="P216" i="9"/>
  <c r="N217" i="9"/>
  <c r="O217" i="9"/>
  <c r="P217" i="9"/>
  <c r="N218" i="9"/>
  <c r="O218" i="9"/>
  <c r="P218" i="9"/>
  <c r="N219" i="9"/>
  <c r="O219" i="9"/>
  <c r="P219" i="9"/>
  <c r="N220" i="9"/>
  <c r="O220" i="9"/>
  <c r="P220" i="9"/>
  <c r="N221" i="9"/>
  <c r="O221" i="9"/>
  <c r="P221" i="9"/>
  <c r="N222" i="9"/>
  <c r="O222" i="9"/>
  <c r="P222" i="9"/>
  <c r="N223" i="9"/>
  <c r="O223" i="9"/>
  <c r="P223" i="9"/>
  <c r="N224" i="9"/>
  <c r="O224" i="9"/>
  <c r="P224" i="9"/>
  <c r="N225" i="9"/>
  <c r="O225" i="9"/>
  <c r="P225" i="9"/>
  <c r="N226" i="9"/>
  <c r="O226" i="9"/>
  <c r="P226" i="9"/>
  <c r="N227" i="9"/>
  <c r="O227" i="9"/>
  <c r="P227" i="9"/>
  <c r="O228" i="9"/>
  <c r="P228" i="9"/>
  <c r="N229" i="9"/>
  <c r="O229" i="9"/>
  <c r="P229" i="9"/>
  <c r="N230" i="9"/>
  <c r="O230" i="9"/>
  <c r="P230" i="9"/>
  <c r="N231" i="9"/>
  <c r="O231" i="9"/>
  <c r="P231" i="9"/>
  <c r="N232" i="9"/>
  <c r="O232" i="9"/>
  <c r="P232" i="9"/>
  <c r="N233" i="9"/>
  <c r="O233" i="9"/>
  <c r="P233" i="9"/>
  <c r="N234" i="9"/>
  <c r="O234" i="9"/>
  <c r="P234" i="9"/>
  <c r="N235" i="9"/>
  <c r="O235" i="9"/>
  <c r="P235" i="9"/>
  <c r="N236" i="9"/>
  <c r="O236" i="9"/>
  <c r="P236" i="9"/>
  <c r="O237" i="9"/>
  <c r="P237" i="9"/>
  <c r="N238" i="9"/>
  <c r="O238" i="9"/>
  <c r="P238" i="9"/>
  <c r="N239" i="9"/>
  <c r="O239" i="9"/>
  <c r="P239" i="9"/>
  <c r="N240" i="9"/>
  <c r="O240" i="9"/>
  <c r="P240" i="9"/>
  <c r="O241" i="9"/>
  <c r="P241" i="9"/>
  <c r="N242" i="9"/>
  <c r="O242" i="9"/>
  <c r="P242" i="9"/>
  <c r="N243" i="9"/>
  <c r="O243" i="9"/>
  <c r="P243" i="9"/>
  <c r="N244" i="9"/>
  <c r="O244" i="9"/>
  <c r="P244" i="9"/>
  <c r="N245" i="9"/>
  <c r="O245" i="9"/>
  <c r="P245" i="9"/>
  <c r="N246" i="9"/>
  <c r="O246" i="9"/>
  <c r="P246" i="9"/>
  <c r="N247" i="9"/>
  <c r="O247" i="9"/>
  <c r="P247" i="9"/>
  <c r="N248" i="9"/>
  <c r="O248" i="9"/>
  <c r="P248" i="9"/>
  <c r="O249" i="9"/>
  <c r="P249" i="9"/>
  <c r="N250" i="9"/>
  <c r="O250" i="9"/>
  <c r="P250" i="9"/>
  <c r="N251" i="9"/>
  <c r="O251" i="9"/>
  <c r="P251" i="9"/>
  <c r="N252" i="9"/>
  <c r="O252" i="9"/>
  <c r="P252" i="9"/>
  <c r="N253" i="9"/>
  <c r="O253" i="9"/>
  <c r="P253" i="9"/>
  <c r="N254" i="9"/>
  <c r="O254" i="9"/>
  <c r="P254" i="9"/>
  <c r="N255" i="9"/>
  <c r="O255" i="9"/>
  <c r="P255" i="9"/>
  <c r="O256" i="9"/>
  <c r="P256" i="9"/>
  <c r="N257" i="9"/>
  <c r="O257" i="9"/>
  <c r="P257" i="9"/>
  <c r="N258" i="9"/>
  <c r="O258" i="9"/>
  <c r="P258" i="9"/>
  <c r="N259" i="9"/>
  <c r="O259" i="9"/>
  <c r="P259" i="9"/>
  <c r="N260" i="9"/>
  <c r="O260" i="9"/>
  <c r="P260" i="9"/>
  <c r="N261" i="9"/>
  <c r="O261" i="9"/>
  <c r="P261" i="9"/>
  <c r="N262" i="9"/>
  <c r="O262" i="9"/>
  <c r="P262" i="9"/>
  <c r="N263" i="9"/>
  <c r="O263" i="9"/>
  <c r="P263" i="9"/>
  <c r="N264" i="9"/>
  <c r="O264" i="9"/>
  <c r="P264" i="9"/>
  <c r="P46" i="9" l="1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2" i="9"/>
  <c r="O3" i="9"/>
  <c r="O4" i="9"/>
  <c r="O5" i="9"/>
  <c r="O6" i="9"/>
  <c r="O7" i="9"/>
  <c r="O8" i="9"/>
  <c r="O10" i="9"/>
  <c r="O11" i="9"/>
  <c r="O12" i="9"/>
  <c r="O13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4" i="9"/>
  <c r="O35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2" i="9"/>
  <c r="O93" i="9"/>
  <c r="O94" i="9"/>
  <c r="O95" i="9"/>
  <c r="O96" i="9"/>
  <c r="O97" i="9"/>
  <c r="O98" i="9"/>
  <c r="O99" i="9"/>
  <c r="O100" i="9"/>
  <c r="O101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7" i="9"/>
  <c r="O118" i="9"/>
  <c r="O119" i="9"/>
  <c r="O120" i="9"/>
  <c r="O121" i="9"/>
  <c r="O122" i="9"/>
  <c r="O2" i="9"/>
  <c r="N3" i="9"/>
  <c r="N4" i="9"/>
  <c r="N5" i="9"/>
  <c r="N6" i="9"/>
  <c r="N7" i="9"/>
  <c r="N8" i="9"/>
  <c r="N12" i="9"/>
  <c r="N13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4" i="9"/>
  <c r="N35" i="9"/>
  <c r="N37" i="9"/>
  <c r="N38" i="9"/>
  <c r="N39" i="9"/>
  <c r="N40" i="9"/>
  <c r="N41" i="9"/>
  <c r="N42" i="9"/>
  <c r="N43" i="9"/>
  <c r="N44" i="9"/>
  <c r="N45" i="9"/>
  <c r="N46" i="9"/>
  <c r="N47" i="9"/>
  <c r="N49" i="9"/>
  <c r="N50" i="9"/>
  <c r="N51" i="9"/>
  <c r="N52" i="9"/>
  <c r="N53" i="9"/>
  <c r="N54" i="9"/>
  <c r="N55" i="9"/>
  <c r="N56" i="9"/>
  <c r="N57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8" i="9"/>
  <c r="N90" i="9"/>
  <c r="N92" i="9"/>
  <c r="N93" i="9"/>
  <c r="N94" i="9"/>
  <c r="N95" i="9"/>
  <c r="N96" i="9"/>
  <c r="N97" i="9"/>
  <c r="N98" i="9"/>
  <c r="N99" i="9"/>
  <c r="N100" i="9"/>
  <c r="N101" i="9"/>
  <c r="N104" i="9"/>
  <c r="N105" i="9"/>
  <c r="N106" i="9"/>
  <c r="N107" i="9"/>
  <c r="N108" i="9"/>
  <c r="N110" i="9"/>
  <c r="N111" i="9"/>
  <c r="N112" i="9"/>
  <c r="N113" i="9"/>
  <c r="N114" i="9"/>
  <c r="N115" i="9"/>
  <c r="N117" i="9"/>
  <c r="N118" i="9"/>
  <c r="N119" i="9"/>
  <c r="N120" i="9"/>
  <c r="N121" i="9"/>
  <c r="N122" i="9"/>
  <c r="N2" i="9"/>
  <c r="M3" i="9"/>
  <c r="M4" i="9"/>
  <c r="M5" i="9"/>
  <c r="M6" i="9"/>
  <c r="M7" i="9"/>
  <c r="M8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E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Chavez</author>
  </authors>
  <commentList>
    <comment ref="E209" authorId="0" shapeId="0" xr:uid="{216D2F35-BCC3-47D8-A995-D42140FC1D5C}">
      <text>
        <r>
          <rPr>
            <b/>
            <sz val="9"/>
            <color indexed="81"/>
            <rFont val="Tahoma"/>
            <family val="2"/>
          </rPr>
          <t>Christian Chavez:</t>
        </r>
        <r>
          <rPr>
            <sz val="9"/>
            <color indexed="81"/>
            <rFont val="Tahoma"/>
            <family val="2"/>
          </rPr>
          <t xml:space="preserve">
luis torres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Chavez</author>
  </authors>
  <commentList>
    <comment ref="B113" authorId="0" shapeId="0" xr:uid="{6B09013C-F6C6-4804-B9BB-3793CAAD1579}">
      <text>
        <r>
          <rPr>
            <b/>
            <sz val="9"/>
            <color indexed="81"/>
            <rFont val="Tahoma"/>
            <family val="2"/>
          </rPr>
          <t>Christian Chavez:</t>
        </r>
        <r>
          <rPr>
            <sz val="9"/>
            <color indexed="81"/>
            <rFont val="Tahoma"/>
            <family val="2"/>
          </rPr>
          <t xml:space="preserve">
la tiene augusto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Chavez</author>
  </authors>
  <commentList>
    <comment ref="B113" authorId="0" shapeId="0" xr:uid="{55155E13-0329-4FD1-80CD-55F680FFF7C3}">
      <text>
        <r>
          <rPr>
            <b/>
            <sz val="9"/>
            <color indexed="81"/>
            <rFont val="Tahoma"/>
            <family val="2"/>
          </rPr>
          <t>Christian Chavez:</t>
        </r>
        <r>
          <rPr>
            <sz val="9"/>
            <color indexed="81"/>
            <rFont val="Tahoma"/>
            <family val="2"/>
          </rPr>
          <t xml:space="preserve">
la tiene augusto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Chavez</author>
  </authors>
  <commentList>
    <comment ref="B20" authorId="0" shapeId="0" xr:uid="{D0E2278C-C8ED-4591-9582-FE2F5BD8F982}">
      <text>
        <r>
          <rPr>
            <b/>
            <sz val="9"/>
            <color indexed="81"/>
            <rFont val="Tahoma"/>
            <family val="2"/>
          </rPr>
          <t>Christian Chavez:</t>
        </r>
        <r>
          <rPr>
            <sz val="9"/>
            <color indexed="81"/>
            <rFont val="Tahoma"/>
            <family val="2"/>
          </rPr>
          <t xml:space="preserve">
en el archivo de ana sale 4958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Chavez</author>
  </authors>
  <commentList>
    <comment ref="B20" authorId="0" shapeId="0" xr:uid="{A3E90410-F49B-4AC0-9EEB-2B13948DA406}">
      <text>
        <r>
          <rPr>
            <b/>
            <sz val="9"/>
            <color indexed="81"/>
            <rFont val="Tahoma"/>
            <family val="2"/>
          </rPr>
          <t>Christian Chavez:</t>
        </r>
        <r>
          <rPr>
            <sz val="9"/>
            <color indexed="81"/>
            <rFont val="Tahoma"/>
            <family val="2"/>
          </rPr>
          <t xml:space="preserve">
en el archivo de ana sale 4958</t>
        </r>
      </text>
    </comment>
  </commentList>
</comments>
</file>

<file path=xl/sharedStrings.xml><?xml version="1.0" encoding="utf-8"?>
<sst xmlns="http://schemas.openxmlformats.org/spreadsheetml/2006/main" count="11046" uniqueCount="1296">
  <si>
    <t>Row Labels</t>
  </si>
  <si>
    <t>Sum of TOTAL REVISADO</t>
  </si>
  <si>
    <t>Sum of VALOR AJUSTADO</t>
  </si>
  <si>
    <t>Grand Total</t>
  </si>
  <si>
    <t>Proveedor</t>
  </si>
  <si>
    <t>Year</t>
  </si>
  <si>
    <t>Month</t>
  </si>
  <si>
    <t>Number</t>
  </si>
  <si>
    <t>USER</t>
  </si>
  <si>
    <t>asa</t>
  </si>
  <si>
    <t>Activity</t>
  </si>
  <si>
    <t>Monthly charges</t>
  </si>
  <si>
    <t>Equipment</t>
  </si>
  <si>
    <t>Company</t>
  </si>
  <si>
    <t>Government</t>
  </si>
  <si>
    <t>total</t>
  </si>
  <si>
    <t>TOTAL REVISADO</t>
  </si>
  <si>
    <t xml:space="preserve">DISPOSITIVO </t>
  </si>
  <si>
    <t xml:space="preserve">USER REAL </t>
  </si>
  <si>
    <t>CECO</t>
  </si>
  <si>
    <t>MIGRADO</t>
  </si>
  <si>
    <t>VALOR AJUSTADO</t>
  </si>
  <si>
    <t>AT&amp;T</t>
  </si>
  <si>
    <t>629-345-1381</t>
  </si>
  <si>
    <t>IPHONE 14</t>
  </si>
  <si>
    <t>629-345-1642</t>
  </si>
  <si>
    <t>629-345-1645</t>
  </si>
  <si>
    <t>RADDY GARCIA SA</t>
  </si>
  <si>
    <t>678-477-4654</t>
  </si>
  <si>
    <t>IPAD SALES</t>
  </si>
  <si>
    <t>-</t>
  </si>
  <si>
    <t>678-925-1523</t>
  </si>
  <si>
    <t>678-925-6858</t>
  </si>
  <si>
    <t>901-464-6471</t>
  </si>
  <si>
    <t>HELEN MADRIGAL</t>
  </si>
  <si>
    <t>615-474-6646</t>
  </si>
  <si>
    <t>JOHAN MADRIZ</t>
  </si>
  <si>
    <t>CANCELADO</t>
  </si>
  <si>
    <t>629-257-4960</t>
  </si>
  <si>
    <t>BACKUP INTERNET 1</t>
  </si>
  <si>
    <t>Samsung</t>
  </si>
  <si>
    <t>629-258-0227</t>
  </si>
  <si>
    <t>BACKUP INTERNET 2</t>
  </si>
  <si>
    <t>615-945-4365</t>
  </si>
  <si>
    <t>IVAN TELLO IPAD</t>
  </si>
  <si>
    <t>615-944-5380</t>
  </si>
  <si>
    <t>LEONARDO PALENCIA I...</t>
  </si>
  <si>
    <t>615-585-1725</t>
  </si>
  <si>
    <t>SALES DSD IPAD</t>
  </si>
  <si>
    <t>256-631-4188</t>
  </si>
  <si>
    <t>DANIEL FLORES IPAD SA</t>
  </si>
  <si>
    <t>629-345-1182</t>
  </si>
  <si>
    <t>ROSMARY LA CRUZ IPA...</t>
  </si>
  <si>
    <t>901-467-5902</t>
  </si>
  <si>
    <t>HELEN MADRIGAL IPAD SA</t>
  </si>
  <si>
    <t>629-345-1728</t>
  </si>
  <si>
    <t>IPAD DISTRIBUIDORA ...</t>
  </si>
  <si>
    <t>629-345-1705</t>
  </si>
  <si>
    <t>629-345-1574</t>
  </si>
  <si>
    <t>629-729-3294</t>
  </si>
  <si>
    <t>IPAD EDILIA SHINE</t>
  </si>
  <si>
    <t>629-729-3287</t>
  </si>
  <si>
    <t>IPAD RAFAEL CHANCHA...</t>
  </si>
  <si>
    <t>205-527-8021</t>
  </si>
  <si>
    <t>JOSE MAITE SA</t>
  </si>
  <si>
    <t>205-529-6296</t>
  </si>
  <si>
    <t>ROSMARY SILVA</t>
  </si>
  <si>
    <t>205-767-8090</t>
  </si>
  <si>
    <t>JESUS GUERRERO</t>
  </si>
  <si>
    <t>256-724-1530</t>
  </si>
  <si>
    <t>DANIEL FLORES SA</t>
  </si>
  <si>
    <t>314-309-4058</t>
  </si>
  <si>
    <t>YESENIA LOPEZ</t>
  </si>
  <si>
    <t>314-580-3315</t>
  </si>
  <si>
    <t>VICTOR CAICEDO</t>
  </si>
  <si>
    <t>317-500-7156</t>
  </si>
  <si>
    <t>NAYELY SORIANO</t>
  </si>
  <si>
    <t>423-321-4014</t>
  </si>
  <si>
    <t>JUAN CARLOS CORADO</t>
  </si>
  <si>
    <t>463-209-9259</t>
  </si>
  <si>
    <t>EDILIA SSHINE SA</t>
  </si>
  <si>
    <t>463-867-7910</t>
  </si>
  <si>
    <t>NEW INDY USER DISTR...</t>
  </si>
  <si>
    <t>470-330-9757</t>
  </si>
  <si>
    <t>KAREN ORELLANA</t>
  </si>
  <si>
    <t>470-609-0538</t>
  </si>
  <si>
    <t>DANIEL GARCIA</t>
  </si>
  <si>
    <t>470-609-0570</t>
  </si>
  <si>
    <t>OSCAR BARRAGAN</t>
  </si>
  <si>
    <t>470-737-8596</t>
  </si>
  <si>
    <t>ISRAEL LOPEZ</t>
  </si>
  <si>
    <t>501-773-3738</t>
  </si>
  <si>
    <t>SALES ARKANSAS</t>
  </si>
  <si>
    <t>501-773-3763</t>
  </si>
  <si>
    <t>ARTURO VILLAVICENCIO</t>
  </si>
  <si>
    <t>502-341-1558</t>
  </si>
  <si>
    <t>DILVER GARCIA</t>
  </si>
  <si>
    <t>502-558-5770</t>
  </si>
  <si>
    <t>JAVIER MOJICA LG</t>
  </si>
  <si>
    <t>502-974-3915</t>
  </si>
  <si>
    <t>CLAUDIA ARMES</t>
  </si>
  <si>
    <t>513-675-0865</t>
  </si>
  <si>
    <t>IRIS CORDERO</t>
  </si>
  <si>
    <t>513-720-1147</t>
  </si>
  <si>
    <t>CINCINNATI LIMENA</t>
  </si>
  <si>
    <t>601-910-8492</t>
  </si>
  <si>
    <t>ROSMARY LACRUZ</t>
  </si>
  <si>
    <t>615-207-2464</t>
  </si>
  <si>
    <t>OSMAN CABRERA</t>
  </si>
  <si>
    <t>615-299-3640</t>
  </si>
  <si>
    <t>SIMON CASTELLANO</t>
  </si>
  <si>
    <t>615-299-3641</t>
  </si>
  <si>
    <t>EDGAR FERNANDEZ LQ</t>
  </si>
  <si>
    <t>615-305-1999</t>
  </si>
  <si>
    <t>Ipad</t>
  </si>
  <si>
    <t>615-310-9970</t>
  </si>
  <si>
    <t>ALBERT CARDOZO</t>
  </si>
  <si>
    <t>615-316-8577</t>
  </si>
  <si>
    <t>HR LIMENA</t>
  </si>
  <si>
    <t>615-337-4949</t>
  </si>
  <si>
    <t>DAVID CONDE WH</t>
  </si>
  <si>
    <t>615-390-4624</t>
  </si>
  <si>
    <t>HENRY ESQUIVEL</t>
  </si>
  <si>
    <t>615-403-8760</t>
  </si>
  <si>
    <t>MERARI VILLATORO</t>
  </si>
  <si>
    <t>615-417-0015</t>
  </si>
  <si>
    <t>JESSICA BARAJAS LA</t>
  </si>
  <si>
    <t>615-417-9594</t>
  </si>
  <si>
    <t>NICOLAS FINANZAS</t>
  </si>
  <si>
    <t>615-426-4622</t>
  </si>
  <si>
    <t>ZEDRICK PATINO</t>
  </si>
  <si>
    <t>615-456-2536</t>
  </si>
  <si>
    <t>DANNY CABANZO</t>
  </si>
  <si>
    <t>615-476-5992</t>
  </si>
  <si>
    <t>MONICA AYALA</t>
  </si>
  <si>
    <t>615-477-6490</t>
  </si>
  <si>
    <t>MERARI TWOLINE</t>
  </si>
  <si>
    <t>615-496-8278</t>
  </si>
  <si>
    <t>615-586-0725</t>
  </si>
  <si>
    <t>YESENIA LOPEZ SA</t>
  </si>
  <si>
    <t>615-586-4787</t>
  </si>
  <si>
    <t>JOSE MAITA IPAD</t>
  </si>
  <si>
    <t>615-589-2741</t>
  </si>
  <si>
    <t>ROSMARY SILVA IPAD</t>
  </si>
  <si>
    <t>615-589-4199</t>
  </si>
  <si>
    <t>ELIZABETH PELAEZ</t>
  </si>
  <si>
    <t>615-626-2116</t>
  </si>
  <si>
    <t>615-626-2756</t>
  </si>
  <si>
    <t>LIZET NAJERA</t>
  </si>
  <si>
    <t>615-626-3208</t>
  </si>
  <si>
    <t>ALEJANDRA LOPEZ</t>
  </si>
  <si>
    <t>615-626-3219</t>
  </si>
  <si>
    <t>ZULLYMAR TOVAR</t>
  </si>
  <si>
    <t>615-626-4243</t>
  </si>
  <si>
    <t>JOSE HERRERA</t>
  </si>
  <si>
    <t>615-674-8479</t>
  </si>
  <si>
    <t>JORGE PRADO</t>
  </si>
  <si>
    <t>615-691-3166</t>
  </si>
  <si>
    <t>WAREHOUSE TN NASHVILLE</t>
  </si>
  <si>
    <t>615-708-0397</t>
  </si>
  <si>
    <t>JOHAN TWOLINE</t>
  </si>
  <si>
    <t>615-730-3104</t>
  </si>
  <si>
    <t>IVAN TELLO SA</t>
  </si>
  <si>
    <t>615-768-6114</t>
  </si>
  <si>
    <t>IPAD BYOD</t>
  </si>
  <si>
    <t>615-795-8193</t>
  </si>
  <si>
    <t>ANDRES FUENMAYOR</t>
  </si>
  <si>
    <t>615-795-8195</t>
  </si>
  <si>
    <t>MERVIN FERERR</t>
  </si>
  <si>
    <t>615-804-0516</t>
  </si>
  <si>
    <t>YULIN REYES</t>
  </si>
  <si>
    <t>615-812-5934</t>
  </si>
  <si>
    <t>ELISA SILVA</t>
  </si>
  <si>
    <t>615-828-8926</t>
  </si>
  <si>
    <t>LEONARDO PALENCIA SA</t>
  </si>
  <si>
    <t>615-830-4944</t>
  </si>
  <si>
    <t>YULIER PEREZ</t>
  </si>
  <si>
    <t>615-830-6700</t>
  </si>
  <si>
    <t>NICOLAS QUIJANO 2</t>
  </si>
  <si>
    <t>615-840-0789</t>
  </si>
  <si>
    <t>NAYRE PEREZ</t>
  </si>
  <si>
    <t>615-854-5649</t>
  </si>
  <si>
    <t>MARCELA ROA</t>
  </si>
  <si>
    <t>615-854-5797</t>
  </si>
  <si>
    <t>CAROLINA TORREALBA</t>
  </si>
  <si>
    <t>615-862-1976</t>
  </si>
  <si>
    <t>JORGE TENGREDI</t>
  </si>
  <si>
    <t>615-862-9402</t>
  </si>
  <si>
    <t>RUDY BAHENA LG</t>
  </si>
  <si>
    <t>615-878-0405</t>
  </si>
  <si>
    <t>LUIS PARADA</t>
  </si>
  <si>
    <t>Iphone</t>
  </si>
  <si>
    <t>615-879-8762</t>
  </si>
  <si>
    <t>615-881-4574</t>
  </si>
  <si>
    <t>LIESKA MEMPHIS</t>
  </si>
  <si>
    <t>615-906-5129</t>
  </si>
  <si>
    <t>RUDY BAHENA</t>
  </si>
  <si>
    <t>615-939-6293</t>
  </si>
  <si>
    <t>GABRIEL NASHVILLE</t>
  </si>
  <si>
    <t>615-939-8241</t>
  </si>
  <si>
    <t>615-939-9582</t>
  </si>
  <si>
    <t>EDWIN GONZALEZ</t>
  </si>
  <si>
    <t>615-961-5944</t>
  </si>
  <si>
    <t>JOSE BURGOS</t>
  </si>
  <si>
    <t>615-969-5642</t>
  </si>
  <si>
    <t>KARLA SOLIS</t>
  </si>
  <si>
    <t>629-239-0377</t>
  </si>
  <si>
    <t>CARMEN LONGA LG</t>
  </si>
  <si>
    <t>629-239-0999</t>
  </si>
  <si>
    <t>JOSE LUCIO</t>
  </si>
  <si>
    <t>629-256-6967</t>
  </si>
  <si>
    <t>YNGEL GUTIERREZ</t>
  </si>
  <si>
    <t>629-256-9168</t>
  </si>
  <si>
    <t>629-264-3070</t>
  </si>
  <si>
    <t>RICARDO BRITO HR</t>
  </si>
  <si>
    <t>629-285-9899</t>
  </si>
  <si>
    <t>MIGUEL ZUBILLAGA</t>
  </si>
  <si>
    <t>629-318-9009</t>
  </si>
  <si>
    <t>IPAD DE NACOMY</t>
  </si>
  <si>
    <t>629-468-1066</t>
  </si>
  <si>
    <t>REPLACEMENT LOST PHONE</t>
  </si>
  <si>
    <t>629-468-8256</t>
  </si>
  <si>
    <t>MARANGELIE RIVERA</t>
  </si>
  <si>
    <t>678-579-7572</t>
  </si>
  <si>
    <t>GABRIEL ABOUKHEIR</t>
  </si>
  <si>
    <t>678-748-6121</t>
  </si>
  <si>
    <t>GUSTAVO MORILLO</t>
  </si>
  <si>
    <t>678-906-8991</t>
  </si>
  <si>
    <t>ROSALINA SOCORRO</t>
  </si>
  <si>
    <t>678-925-4534</t>
  </si>
  <si>
    <t>ABIGAIL QUINTERO</t>
  </si>
  <si>
    <t>859-321-3539</t>
  </si>
  <si>
    <t>ESMERALDA WILSON</t>
  </si>
  <si>
    <t>865-334-0516</t>
  </si>
  <si>
    <t>FABIOLA ROJAS MER</t>
  </si>
  <si>
    <t>865-396-3526</t>
  </si>
  <si>
    <t>CARLOS VELIZ</t>
  </si>
  <si>
    <t>865-396-3528</t>
  </si>
  <si>
    <t>CARLOS VELIZ SA</t>
  </si>
  <si>
    <t>901-275-5428</t>
  </si>
  <si>
    <t>VERUUZKO RODRIGUEZ</t>
  </si>
  <si>
    <t>901-410-6734</t>
  </si>
  <si>
    <t>SANTIAGO MEMPHIS</t>
  </si>
  <si>
    <t>901-427-2093</t>
  </si>
  <si>
    <t>ANDRES SUAREZ</t>
  </si>
  <si>
    <t>901-456-2279</t>
  </si>
  <si>
    <t>CARLOS PEREZ</t>
  </si>
  <si>
    <t>901-500-6953</t>
  </si>
  <si>
    <t>CESAR RODRIGUEZ KY</t>
  </si>
  <si>
    <t>901-581-6397</t>
  </si>
  <si>
    <t>JOSEFINA AVALOS SA</t>
  </si>
  <si>
    <t>901-585-9984</t>
  </si>
  <si>
    <t>LUIS DE LA TORRE</t>
  </si>
  <si>
    <t>901-607-5291</t>
  </si>
  <si>
    <t>BENY CORPUS</t>
  </si>
  <si>
    <t>901-649-5850</t>
  </si>
  <si>
    <t>RAFAEL CHANCHAMIRE SA</t>
  </si>
  <si>
    <t>901-713-7796</t>
  </si>
  <si>
    <t>ANA CAROLINA FERRERIA</t>
  </si>
  <si>
    <t>Group 7</t>
  </si>
  <si>
    <t>6</t>
  </si>
  <si>
    <t>$40.00</t>
  </si>
  <si>
    <t>13</t>
  </si>
  <si>
    <t>$20.00</t>
  </si>
  <si>
    <t>$3.75</t>
  </si>
  <si>
    <t>Group 8</t>
  </si>
  <si>
    <t>15</t>
  </si>
  <si>
    <t>Group 9</t>
  </si>
  <si>
    <t>7</t>
  </si>
  <si>
    <t>-$16.00</t>
  </si>
  <si>
    <t>no aplica</t>
  </si>
  <si>
    <t>Group 10</t>
  </si>
  <si>
    <t>Group 11</t>
  </si>
  <si>
    <t>Group 12</t>
  </si>
  <si>
    <t>8</t>
  </si>
  <si>
    <t>Group 13</t>
  </si>
  <si>
    <t>Group 14</t>
  </si>
  <si>
    <t>9</t>
  </si>
  <si>
    <t>Group 15</t>
  </si>
  <si>
    <t>Group 16</t>
  </si>
  <si>
    <t>Group 17</t>
  </si>
  <si>
    <t>10</t>
  </si>
  <si>
    <t>Group 18</t>
  </si>
  <si>
    <t>Group 19</t>
  </si>
  <si>
    <t>11</t>
  </si>
  <si>
    <t>17</t>
  </si>
  <si>
    <t>-$11.33</t>
  </si>
  <si>
    <t>$35.00</t>
  </si>
  <si>
    <t>$5.00</t>
  </si>
  <si>
    <t>$4.51</t>
  </si>
  <si>
    <t>$2.68</t>
  </si>
  <si>
    <t>19</t>
  </si>
  <si>
    <t>$5.15</t>
  </si>
  <si>
    <t>$2.88</t>
  </si>
  <si>
    <t>21</t>
  </si>
  <si>
    <t>23</t>
  </si>
  <si>
    <t>$12.00</t>
  </si>
  <si>
    <t>$15.00</t>
  </si>
  <si>
    <t>25</t>
  </si>
  <si>
    <t>$10.99</t>
  </si>
  <si>
    <t>270-779-9642</t>
  </si>
  <si>
    <t>AMALIA BENOCMO</t>
  </si>
  <si>
    <t>27</t>
  </si>
  <si>
    <t>$10.83</t>
  </si>
  <si>
    <t>$25.00</t>
  </si>
  <si>
    <t>$6.69</t>
  </si>
  <si>
    <t>$3.23</t>
  </si>
  <si>
    <t>29</t>
  </si>
  <si>
    <t>$2.23</t>
  </si>
  <si>
    <t>31</t>
  </si>
  <si>
    <t>$156.67</t>
  </si>
  <si>
    <t>$9.49</t>
  </si>
  <si>
    <t>$5.54</t>
  </si>
  <si>
    <t>33</t>
  </si>
  <si>
    <t>35</t>
  </si>
  <si>
    <t>37</t>
  </si>
  <si>
    <t>39</t>
  </si>
  <si>
    <t>-$35.00</t>
  </si>
  <si>
    <t>$5.99</t>
  </si>
  <si>
    <t>-$0.52</t>
  </si>
  <si>
    <t>-$0.33</t>
  </si>
  <si>
    <t>41</t>
  </si>
  <si>
    <t>-$44.50</t>
  </si>
  <si>
    <t>-$0.59</t>
  </si>
  <si>
    <t>-$0.58</t>
  </si>
  <si>
    <t>43</t>
  </si>
  <si>
    <t>$2.12</t>
  </si>
  <si>
    <t>45</t>
  </si>
  <si>
    <t>47</t>
  </si>
  <si>
    <t>-$0.47</t>
  </si>
  <si>
    <t>-$0.46</t>
  </si>
  <si>
    <t>49</t>
  </si>
  <si>
    <t>-$15.00</t>
  </si>
  <si>
    <t>51</t>
  </si>
  <si>
    <t>53</t>
  </si>
  <si>
    <t>-$29.66</t>
  </si>
  <si>
    <t>$5.61</t>
  </si>
  <si>
    <t>$1.57</t>
  </si>
  <si>
    <t>55</t>
  </si>
  <si>
    <t>$5.18</t>
  </si>
  <si>
    <t>$2.46</t>
  </si>
  <si>
    <t>57</t>
  </si>
  <si>
    <t>59</t>
  </si>
  <si>
    <t>61</t>
  </si>
  <si>
    <t>$4.57</t>
  </si>
  <si>
    <t>$0.97</t>
  </si>
  <si>
    <t>63</t>
  </si>
  <si>
    <t>65</t>
  </si>
  <si>
    <t>67</t>
  </si>
  <si>
    <t>$4.53</t>
  </si>
  <si>
    <t>$4.27</t>
  </si>
  <si>
    <t>69</t>
  </si>
  <si>
    <t>-$18.78</t>
  </si>
  <si>
    <t>71</t>
  </si>
  <si>
    <t>-$18.50</t>
  </si>
  <si>
    <t>$10.00</t>
  </si>
  <si>
    <t>73</t>
  </si>
  <si>
    <t>75</t>
  </si>
  <si>
    <t>77</t>
  </si>
  <si>
    <t>79</t>
  </si>
  <si>
    <t>81</t>
  </si>
  <si>
    <t>$96.67</t>
  </si>
  <si>
    <t>$38.89</t>
  </si>
  <si>
    <t>$15.46</t>
  </si>
  <si>
    <t>$5.36</t>
  </si>
  <si>
    <t>83</t>
  </si>
  <si>
    <t>85</t>
  </si>
  <si>
    <t>87</t>
  </si>
  <si>
    <t>89</t>
  </si>
  <si>
    <t>91</t>
  </si>
  <si>
    <t>93</t>
  </si>
  <si>
    <t>$0.67</t>
  </si>
  <si>
    <t>$30.56</t>
  </si>
  <si>
    <t>$4.82</t>
  </si>
  <si>
    <t>$2.42</t>
  </si>
  <si>
    <t>95</t>
  </si>
  <si>
    <t>$84.67</t>
  </si>
  <si>
    <t>$11.07</t>
  </si>
  <si>
    <t>$4.46</t>
  </si>
  <si>
    <t>97</t>
  </si>
  <si>
    <t>$8.50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</si>
  <si>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</si>
  <si>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</si>
  <si>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</si>
  <si>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</si>
  <si>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</si>
  <si>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</si>
  <si>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</si>
  <si>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</si>
  <si>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</si>
  <si>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-$5.33</t>
  </si>
  <si>
    <t>$23.44</t>
  </si>
  <si>
    <t>$6.71</t>
  </si>
  <si>
    <t>117</t>
  </si>
  <si>
    <t>-$21.33</t>
  </si>
  <si>
    <t>$4.39</t>
  </si>
  <si>
    <t>-$2.88</t>
  </si>
  <si>
    <t>119</t>
  </si>
  <si>
    <t>121</t>
  </si>
  <si>
    <t>$65.22</t>
  </si>
  <si>
    <t>$33.34</t>
  </si>
  <si>
    <t>$6.99</t>
  </si>
  <si>
    <t>123</t>
  </si>
  <si>
    <t>ELISA GECHELE IPAD</t>
  </si>
  <si>
    <t>125</t>
  </si>
  <si>
    <t>127</t>
  </si>
  <si>
    <t>129</t>
  </si>
  <si>
    <t>131</t>
  </si>
  <si>
    <t>133</t>
  </si>
  <si>
    <t>615-821-3185</t>
  </si>
  <si>
    <t>DSD IPHONE ALABAMA</t>
  </si>
  <si>
    <t>135</t>
  </si>
  <si>
    <t>$1.17</t>
  </si>
  <si>
    <t>$0.02</t>
  </si>
  <si>
    <t>$0.11</t>
  </si>
  <si>
    <t>615-821-6036</t>
  </si>
  <si>
    <t>137</t>
  </si>
  <si>
    <t>615-821-7053</t>
  </si>
  <si>
    <t>IPADAMALIA BENOCMO</t>
  </si>
  <si>
    <t>139</t>
  </si>
  <si>
    <t>$7.00</t>
  </si>
  <si>
    <t>615-821-8577</t>
  </si>
  <si>
    <t>RENYA VIVAS DSD</t>
  </si>
  <si>
    <t>141</t>
  </si>
  <si>
    <t>$67.47</t>
  </si>
  <si>
    <t>143</t>
  </si>
  <si>
    <t>145</t>
  </si>
  <si>
    <t>147</t>
  </si>
  <si>
    <t>-$13.00</t>
  </si>
  <si>
    <t>$4.49</t>
  </si>
  <si>
    <t>$2.21</t>
  </si>
  <si>
    <t>149</t>
  </si>
  <si>
    <t>$9.54</t>
  </si>
  <si>
    <t>$3.78</t>
  </si>
  <si>
    <t>151</t>
  </si>
  <si>
    <t>153</t>
  </si>
  <si>
    <t>155</t>
  </si>
  <si>
    <t>157</t>
  </si>
  <si>
    <t>159</t>
  </si>
  <si>
    <t>161</t>
  </si>
  <si>
    <t>163</t>
  </si>
  <si>
    <t>165</t>
  </si>
  <si>
    <t>-$36.50</t>
  </si>
  <si>
    <t>-$0.41</t>
  </si>
  <si>
    <t>167</t>
  </si>
  <si>
    <t>169</t>
  </si>
  <si>
    <t>171</t>
  </si>
  <si>
    <t>173</t>
  </si>
  <si>
    <t>175</t>
  </si>
  <si>
    <t>615-967-4046</t>
  </si>
  <si>
    <t>AUGUSTO IPAD</t>
  </si>
  <si>
    <t>177</t>
  </si>
  <si>
    <t>$14.00</t>
  </si>
  <si>
    <t>179</t>
  </si>
  <si>
    <t>615-984-9515</t>
  </si>
  <si>
    <t>DILVER GARCIA IPAD</t>
  </si>
  <si>
    <t>181</t>
  </si>
  <si>
    <t>$2.00</t>
  </si>
  <si>
    <t>183</t>
  </si>
  <si>
    <t>185</t>
  </si>
  <si>
    <t>187</t>
  </si>
  <si>
    <t>189</t>
  </si>
  <si>
    <t>191</t>
  </si>
  <si>
    <t>193</t>
  </si>
  <si>
    <t>629-318-8877</t>
  </si>
  <si>
    <t>IPADALA BAMADSD</t>
  </si>
  <si>
    <t>195</t>
  </si>
  <si>
    <t>$12.50</t>
  </si>
  <si>
    <t>197</t>
  </si>
  <si>
    <t>-$3.50</t>
  </si>
  <si>
    <t>ipad</t>
  </si>
  <si>
    <t>629-318-9109</t>
  </si>
  <si>
    <t>IPADREYNA VIVASDSD</t>
  </si>
  <si>
    <t>199</t>
  </si>
  <si>
    <t>$10.50</t>
  </si>
  <si>
    <t>201</t>
  </si>
  <si>
    <t>203</t>
  </si>
  <si>
    <t>-$2.33</t>
  </si>
  <si>
    <t>$1.82</t>
  </si>
  <si>
    <t>$4.85</t>
  </si>
  <si>
    <t>$2.56</t>
  </si>
  <si>
    <t>205</t>
  </si>
  <si>
    <t>$12.78</t>
  </si>
  <si>
    <t>207</t>
  </si>
  <si>
    <t>209</t>
  </si>
  <si>
    <t>211</t>
  </si>
  <si>
    <t>213</t>
  </si>
  <si>
    <t>215</t>
  </si>
  <si>
    <t>217</t>
  </si>
  <si>
    <t>219</t>
  </si>
  <si>
    <t>221</t>
  </si>
  <si>
    <t>659-268-2242</t>
  </si>
  <si>
    <t>223</t>
  </si>
  <si>
    <t>$4.67</t>
  </si>
  <si>
    <t>$4.66</t>
  </si>
  <si>
    <t>225</t>
  </si>
  <si>
    <t>-$4.50</t>
  </si>
  <si>
    <t>227</t>
  </si>
  <si>
    <t>$2.10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</si>
  <si>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</si>
  <si>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</si>
  <si>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</si>
  <si>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</si>
  <si>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</si>
  <si>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</si>
  <si>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</si>
  <si>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</si>
  <si>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</si>
  <si>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</si>
  <si>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</si>
  <si>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</si>
  <si>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</si>
  <si>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</si>
  <si>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-$7.83</t>
  </si>
  <si>
    <t>-$0.79</t>
  </si>
  <si>
    <t>$4.83</t>
  </si>
  <si>
    <t>$2.54</t>
  </si>
  <si>
    <t>257</t>
  </si>
  <si>
    <t>259</t>
  </si>
  <si>
    <t>261</t>
  </si>
  <si>
    <t>263</t>
  </si>
  <si>
    <t>265</t>
  </si>
  <si>
    <t>$18.33</t>
  </si>
  <si>
    <t>$5.58</t>
  </si>
  <si>
    <t>267</t>
  </si>
  <si>
    <t>269</t>
  </si>
  <si>
    <t>-$18.67</t>
  </si>
  <si>
    <t>$50.00</t>
  </si>
  <si>
    <t>$4.22</t>
  </si>
  <si>
    <t>$1.92</t>
  </si>
  <si>
    <t>ID</t>
  </si>
  <si>
    <t>LINEA MOVIL</t>
  </si>
  <si>
    <t>EQUIPMENT TYPE</t>
  </si>
  <si>
    <t>MODEL</t>
  </si>
  <si>
    <t>IMEI</t>
  </si>
  <si>
    <t>Usuario Asignado</t>
  </si>
  <si>
    <t>LINEA</t>
  </si>
  <si>
    <t>LOCATION</t>
  </si>
  <si>
    <t>Estado</t>
  </si>
  <si>
    <t>Fecha de asignacion</t>
  </si>
  <si>
    <t>Fecha de ultima revision</t>
  </si>
  <si>
    <t>Condicion de equipo</t>
  </si>
  <si>
    <t>Comentarios</t>
  </si>
  <si>
    <t>Confirmation Letter</t>
  </si>
  <si>
    <t>001</t>
  </si>
  <si>
    <t>A2849 256GB Black Titanium</t>
  </si>
  <si>
    <t>MADRIZ, JOHAN</t>
  </si>
  <si>
    <t>President</t>
  </si>
  <si>
    <t>Primera</t>
  </si>
  <si>
    <t>Nashville</t>
  </si>
  <si>
    <t>Activo</t>
  </si>
  <si>
    <t>Perfecto</t>
  </si>
  <si>
    <t>002</t>
  </si>
  <si>
    <t>A2848 256GB White Titanium</t>
  </si>
  <si>
    <t>VILLATORO, MERARI</t>
  </si>
  <si>
    <t>VP</t>
  </si>
  <si>
    <t>003</t>
  </si>
  <si>
    <t>004</t>
  </si>
  <si>
    <t>005</t>
  </si>
  <si>
    <t>iphone 16 PRO Max 512 GB Black Titanium</t>
  </si>
  <si>
    <t>006</t>
  </si>
  <si>
    <t>iPhone 13 Pro Max A2484 256GB Alpine Green</t>
  </si>
  <si>
    <t>007</t>
  </si>
  <si>
    <t>iPhone 13 Pro Max A2484 256GB Graphite</t>
  </si>
  <si>
    <t>QUIJANO, NICOLAS</t>
  </si>
  <si>
    <t>CFO</t>
  </si>
  <si>
    <t>Send</t>
  </si>
  <si>
    <t>008</t>
  </si>
  <si>
    <t>iPhone 13 Pro Max A2484 256GB Gold</t>
  </si>
  <si>
    <t>009</t>
  </si>
  <si>
    <t>Iphone 11 Pro</t>
  </si>
  <si>
    <t>010</t>
  </si>
  <si>
    <t>iPhone 13 Pro Max A2484 128GB Graphite</t>
  </si>
  <si>
    <t>HERRERA MOLINA, JOSE CARLOS</t>
  </si>
  <si>
    <t>CEO</t>
  </si>
  <si>
    <t>011</t>
  </si>
  <si>
    <t>615-626-7710</t>
  </si>
  <si>
    <t>VERIZON</t>
  </si>
  <si>
    <t>10.2 IPAD 8 GEN 32GB SG</t>
  </si>
  <si>
    <t>012</t>
  </si>
  <si>
    <t>iPhone 14 Plus A2632 128GB Midnight</t>
  </si>
  <si>
    <t>DUQUE IYENGAR, DANIELA</t>
  </si>
  <si>
    <t>HR</t>
  </si>
  <si>
    <t>013</t>
  </si>
  <si>
    <t>615-971-0833</t>
  </si>
  <si>
    <t xml:space="preserve">Galaxy </t>
  </si>
  <si>
    <t>SAMSUNG GALAXY A23 5G UW</t>
  </si>
  <si>
    <t>BEARD, JUSTIN O</t>
  </si>
  <si>
    <t>LOGISTICS WEST</t>
  </si>
  <si>
    <t>Tercera</t>
  </si>
  <si>
    <t>Memphis</t>
  </si>
  <si>
    <t>014</t>
  </si>
  <si>
    <t>Galaxy</t>
  </si>
  <si>
    <t>CONDE TORRES, DAVID A</t>
  </si>
  <si>
    <t>WAREHOUSE CENTRAL</t>
  </si>
  <si>
    <t>015</t>
  </si>
  <si>
    <t>CORPUS, BENY A</t>
  </si>
  <si>
    <t>LOGISTICS CENTRAL</t>
  </si>
  <si>
    <t>Iphone 14 Pro MaX</t>
  </si>
  <si>
    <t>ESQUIVEL, HENRY</t>
  </si>
  <si>
    <t>Segunda</t>
  </si>
  <si>
    <t>017</t>
  </si>
  <si>
    <t>Motorola</t>
  </si>
  <si>
    <t>moto g stylus 5G XT2131-3 128GB Cosmic Emerald</t>
  </si>
  <si>
    <t>FERNANDEZ, EDGAR</t>
  </si>
  <si>
    <t>018</t>
  </si>
  <si>
    <t>iPhone 13 A2482 128GB Midnight</t>
  </si>
  <si>
    <t>LONGA, CARMEN B</t>
  </si>
  <si>
    <t>019</t>
  </si>
  <si>
    <t>MOJICA, FRANCISCO JAVIER</t>
  </si>
  <si>
    <t>020</t>
  </si>
  <si>
    <t>Galaxy A13 5G SM-A136U 64GB Black</t>
  </si>
  <si>
    <t>BAHENA, RUDY</t>
  </si>
  <si>
    <t>021</t>
  </si>
  <si>
    <t>629-201-9859</t>
  </si>
  <si>
    <t>LAMA, DENIS</t>
  </si>
  <si>
    <t>LOGISTICS NORTH</t>
  </si>
  <si>
    <t>Cincinnatti</t>
  </si>
  <si>
    <t>022</t>
  </si>
  <si>
    <t>DE LA TORRE, LUIS G</t>
  </si>
  <si>
    <t>023</t>
  </si>
  <si>
    <t>615-598-2524</t>
  </si>
  <si>
    <t>SALGUERO, RONALD</t>
  </si>
  <si>
    <t>LOGISTIC SOUTH</t>
  </si>
  <si>
    <t>Birmingham</t>
  </si>
  <si>
    <t>024</t>
  </si>
  <si>
    <t>SAMSUNG GALAXY A13</t>
  </si>
  <si>
    <t>REMBERT, ANTORIUS DAVUN</t>
  </si>
  <si>
    <t>LOGISTICS SOUTH</t>
  </si>
  <si>
    <t>025</t>
  </si>
  <si>
    <t>IPHONE13 128GB MDN NVZ ATT</t>
  </si>
  <si>
    <t>ARMES, CLAUDIA</t>
  </si>
  <si>
    <t>SALES NORTH</t>
  </si>
  <si>
    <t>026</t>
  </si>
  <si>
    <t>BARAJAS, JESSICA</t>
  </si>
  <si>
    <t>027</t>
  </si>
  <si>
    <t>615-417-2841</t>
  </si>
  <si>
    <t>028</t>
  </si>
  <si>
    <t>CABANZO, DANNY</t>
  </si>
  <si>
    <t>SALES CENTRAL</t>
  </si>
  <si>
    <t>029</t>
  </si>
  <si>
    <t>615-840-1465</t>
  </si>
  <si>
    <t>030</t>
  </si>
  <si>
    <t>CAICEDO, VICTOR M</t>
  </si>
  <si>
    <t>SALES WEST</t>
  </si>
  <si>
    <t>031</t>
  </si>
  <si>
    <t>615-840-3639</t>
  </si>
  <si>
    <t>IP 10.9 64 SLV 22</t>
  </si>
  <si>
    <t>032</t>
  </si>
  <si>
    <t>iPad 9th Gen. (2021) A2603 64GB Space Gray</t>
  </si>
  <si>
    <t>CHANCHAMIRE, RAFAEL A</t>
  </si>
  <si>
    <t>033</t>
  </si>
  <si>
    <t>iPhone 14 A2649 128GB Midnight</t>
  </si>
  <si>
    <t>034</t>
  </si>
  <si>
    <t>CORDERO, IRIS</t>
  </si>
  <si>
    <t>035</t>
  </si>
  <si>
    <t>615-648-0861</t>
  </si>
  <si>
    <t>IPAD WIFI 32GB GOLD</t>
  </si>
  <si>
    <t>036</t>
  </si>
  <si>
    <t>FLORES, JOSE DANIEL</t>
  </si>
  <si>
    <t>SALES SOUTH</t>
  </si>
  <si>
    <t>037</t>
  </si>
  <si>
    <t>038</t>
  </si>
  <si>
    <t>GUERRERO, JESUS</t>
  </si>
  <si>
    <t>039</t>
  </si>
  <si>
    <t>615-840-1479</t>
  </si>
  <si>
    <t>IPAD 9.7 128GB SILVER VZ</t>
  </si>
  <si>
    <t>040</t>
  </si>
  <si>
    <t>GUTIERREZ TOVAR, YNGEL J</t>
  </si>
  <si>
    <t>041</t>
  </si>
  <si>
    <t>LOPEZ, YESENIA</t>
  </si>
  <si>
    <t>042</t>
  </si>
  <si>
    <t>043</t>
  </si>
  <si>
    <t>LOPEZ, ALEJANDRA C</t>
  </si>
  <si>
    <t>044</t>
  </si>
  <si>
    <t>MADRIGAL GARCIA, HELEN C</t>
  </si>
  <si>
    <t>045</t>
  </si>
  <si>
    <t>046</t>
  </si>
  <si>
    <t>NAJERA, LIZET</t>
  </si>
  <si>
    <t>047</t>
  </si>
  <si>
    <t>615-920-4092</t>
  </si>
  <si>
    <t>048</t>
  </si>
  <si>
    <t>REYES, YULIN</t>
  </si>
  <si>
    <t>049</t>
  </si>
  <si>
    <t>615-806-3926</t>
  </si>
  <si>
    <t>050</t>
  </si>
  <si>
    <t>615-812-4735</t>
  </si>
  <si>
    <t>ROA, INGRID MARCELA</t>
  </si>
  <si>
    <t>051</t>
  </si>
  <si>
    <t>052</t>
  </si>
  <si>
    <t>ROJAS, FABIOLA V</t>
  </si>
  <si>
    <t>MERCHANDISER CENTRAL</t>
  </si>
  <si>
    <t>053</t>
  </si>
  <si>
    <t>SORIANO, NAYELY</t>
  </si>
  <si>
    <t>054</t>
  </si>
  <si>
    <t>615-881-2222</t>
  </si>
  <si>
    <t>IPAD 9GEN 64 GRAY</t>
  </si>
  <si>
    <t>055</t>
  </si>
  <si>
    <t>TELLO, IVAN E</t>
  </si>
  <si>
    <t>056</t>
  </si>
  <si>
    <t>057</t>
  </si>
  <si>
    <t>615-812-1894</t>
  </si>
  <si>
    <t>TORREALBA TORRES, CAROLINA</t>
  </si>
  <si>
    <t>058</t>
  </si>
  <si>
    <t>059</t>
  </si>
  <si>
    <t>TORRES, LUIS</t>
  </si>
  <si>
    <t>MERCHANDISER NORTH</t>
  </si>
  <si>
    <t>Asignar o ver si tien asignado</t>
  </si>
  <si>
    <t>060</t>
  </si>
  <si>
    <t>615-714-1323</t>
  </si>
  <si>
    <t>TOVAR, ZULLYMAR</t>
  </si>
  <si>
    <t>061</t>
  </si>
  <si>
    <t>VELIZ, CARLOS A</t>
  </si>
  <si>
    <t>062</t>
  </si>
  <si>
    <t>LACRUZ, ROSMARY</t>
  </si>
  <si>
    <t>063</t>
  </si>
  <si>
    <t>IPHONE12 64G BLK-E NVZ ATT</t>
  </si>
  <si>
    <t>064</t>
  </si>
  <si>
    <t>AVALOS, JOSEFINA</t>
  </si>
  <si>
    <t>065</t>
  </si>
  <si>
    <t>901-275-9469</t>
  </si>
  <si>
    <t>066</t>
  </si>
  <si>
    <t>PALENCIA RODRIGUEZ, LEONARDO R</t>
  </si>
  <si>
    <t>067</t>
  </si>
  <si>
    <t>068</t>
  </si>
  <si>
    <t>615-203-1637</t>
  </si>
  <si>
    <t>PEREZ HERNANDEZ, NAYRE</t>
  </si>
  <si>
    <t>069</t>
  </si>
  <si>
    <t>070</t>
  </si>
  <si>
    <t>SOLIS SAN ANDRES, KARLA G</t>
  </si>
  <si>
    <t>071</t>
  </si>
  <si>
    <t>RODRIGUEZ, VERUUZKO</t>
  </si>
  <si>
    <t>072</t>
  </si>
  <si>
    <t>CORADO, JUAN CARLOS</t>
  </si>
  <si>
    <t>073</t>
  </si>
  <si>
    <t>901-568-5966</t>
  </si>
  <si>
    <t>IPAD 9.7 32GB SPACE GRAY VZ</t>
  </si>
  <si>
    <t>074</t>
  </si>
  <si>
    <t>CABRERA, OSMAN A</t>
  </si>
  <si>
    <t>075</t>
  </si>
  <si>
    <t>MAITA, JOSE</t>
  </si>
  <si>
    <t>076</t>
  </si>
  <si>
    <t>077</t>
  </si>
  <si>
    <t>SHINE, EDILIA D</t>
  </si>
  <si>
    <t>078</t>
  </si>
  <si>
    <t>079</t>
  </si>
  <si>
    <t>GARCIA, RADDY</t>
  </si>
  <si>
    <t>080</t>
  </si>
  <si>
    <t>081</t>
  </si>
  <si>
    <t>PATINO, ZEDERICK</t>
  </si>
  <si>
    <t>082</t>
  </si>
  <si>
    <t>RIVERO, LUIS MARIANO</t>
  </si>
  <si>
    <t>083</t>
  </si>
  <si>
    <t>084</t>
  </si>
  <si>
    <t>CALDERON, PILAR ESTRADA</t>
  </si>
  <si>
    <t>MERCHANDISER SOUTH</t>
  </si>
  <si>
    <t>085</t>
  </si>
  <si>
    <t>086</t>
  </si>
  <si>
    <t>615-961-2627</t>
  </si>
  <si>
    <t>LUCIO FLORES, JOSE ANGEL</t>
  </si>
  <si>
    <t xml:space="preserve">Iphone 14  </t>
  </si>
  <si>
    <t>FERREIRA, ANA CAROLINA</t>
  </si>
  <si>
    <t>MERCHANDISER WEST</t>
  </si>
  <si>
    <t>088</t>
  </si>
  <si>
    <t>ALVAREZ PALOMARES M, PAULA MAYREN</t>
  </si>
  <si>
    <t>089</t>
  </si>
  <si>
    <t>615-587-3400</t>
  </si>
  <si>
    <t>IPHONE12P 128G GRP NVZ TMO</t>
  </si>
  <si>
    <t>DUARTE, ANGELA</t>
  </si>
  <si>
    <t>090</t>
  </si>
  <si>
    <t>615-961-0855</t>
  </si>
  <si>
    <t>091</t>
  </si>
  <si>
    <t>CARDOZO, ALBERT YVAN</t>
  </si>
  <si>
    <t>SALES RITEFILL DSD CENTRAL</t>
  </si>
  <si>
    <t>092</t>
  </si>
  <si>
    <t>IPHONE 12 GEN NVZW</t>
  </si>
  <si>
    <t>093</t>
  </si>
  <si>
    <t>PELAEZ, ELIZABETH</t>
  </si>
  <si>
    <t>094</t>
  </si>
  <si>
    <t>615-728-2262</t>
  </si>
  <si>
    <t>095</t>
  </si>
  <si>
    <t>SILVA R, ROSMARY JOSE</t>
  </si>
  <si>
    <t>096</t>
  </si>
  <si>
    <t>097</t>
  </si>
  <si>
    <t>VILLAVICENCIO, ARTURO J</t>
  </si>
  <si>
    <t>Confirmar quien tiene este IPAD  SI NAIROVI O EL</t>
  </si>
  <si>
    <t>098</t>
  </si>
  <si>
    <t>615-319-8134</t>
  </si>
  <si>
    <t>HERNANDEZ ARREGUIN, ANA AIDET</t>
  </si>
  <si>
    <t>099</t>
  </si>
  <si>
    <t>BRITO SALAZAR, RICARDO JOSE</t>
  </si>
  <si>
    <t>100</t>
  </si>
  <si>
    <t>PEREZ, YULIER</t>
  </si>
  <si>
    <t>TANGREDI, JORGE</t>
  </si>
  <si>
    <t>102</t>
  </si>
  <si>
    <t>615-862-9112</t>
  </si>
  <si>
    <t>VELAZCO GARCIA, JOEL</t>
  </si>
  <si>
    <t>Revisar por que se migro</t>
  </si>
  <si>
    <t>615-651-0245</t>
  </si>
  <si>
    <t>IPAD 7TH GEN 32GB GRAY VZ</t>
  </si>
  <si>
    <t>104</t>
  </si>
  <si>
    <t>iPhone 12 Pro Max 128 GB</t>
  </si>
  <si>
    <t>PRADO, JORGE A</t>
  </si>
  <si>
    <t>COO</t>
  </si>
  <si>
    <t>Revisar el IMEI Y TELEFONO ANTERIOR, BUSCARLO? DONDE ESTA?</t>
  </si>
  <si>
    <t>RODRIGUEZ MELENDEZ, CESAR ANIBAL</t>
  </si>
  <si>
    <t>106</t>
  </si>
  <si>
    <t>615-948-1111</t>
  </si>
  <si>
    <t>WATSON, JORDAN MATTHEW</t>
  </si>
  <si>
    <t>Revisar si esta en Verizon o ATT?</t>
  </si>
  <si>
    <t>615-636-7429</t>
  </si>
  <si>
    <t>CONFIRMAR SI LO TIENE ELLA</t>
  </si>
  <si>
    <t>108</t>
  </si>
  <si>
    <t>IPHONE12 64G BLK NVZ ATT</t>
  </si>
  <si>
    <t>615-879-8490</t>
  </si>
  <si>
    <t>VER SI LO TIENE ALEJANDRA O VERUUZKO</t>
  </si>
  <si>
    <t>110</t>
  </si>
  <si>
    <t>QUEVEDO, NAIROVI Y</t>
  </si>
  <si>
    <t>615-812-2408</t>
  </si>
  <si>
    <t>IPAD9TH GEN NON-VZW</t>
  </si>
  <si>
    <t>Confirmar quien tiene este IPAD SI ARTURO O ELLA</t>
  </si>
  <si>
    <t>112</t>
  </si>
  <si>
    <t>CONFIRMAR LA LINEA DE ELLA</t>
  </si>
  <si>
    <t>114</t>
  </si>
  <si>
    <t>DIAZ, MEYLING J</t>
  </si>
  <si>
    <t>CONFIRMAR</t>
  </si>
  <si>
    <t>615-969-8609</t>
  </si>
  <si>
    <t>AVERIGUAR QUIEN LO TIENE, SALE JG MARTINEZ EN VERIZON</t>
  </si>
  <si>
    <t>116</t>
  </si>
  <si>
    <t>615-804-2180</t>
  </si>
  <si>
    <t>10.2 IPAD 8 GEN 32GB SLR SO</t>
  </si>
  <si>
    <t>118</t>
  </si>
  <si>
    <t>SUAREZ LEZCANO, FERNANDO M</t>
  </si>
  <si>
    <t>SE FUE</t>
  </si>
  <si>
    <t>120</t>
  </si>
  <si>
    <t>CASTILLO DUARTE, JOSE EDUARDO</t>
  </si>
  <si>
    <t>Finance</t>
  </si>
  <si>
    <t>122</t>
  </si>
  <si>
    <t>LODYGENSKY, ISABELE</t>
  </si>
  <si>
    <t>Corpotative ESG 110002</t>
  </si>
  <si>
    <t>SUAREZ, ANDRES E</t>
  </si>
  <si>
    <t>124</t>
  </si>
  <si>
    <t>VIVAS, REYNA E</t>
  </si>
  <si>
    <t>SALES RITEFILL DSD WEST</t>
  </si>
  <si>
    <t>Ipad Wifi 64 GB Silver</t>
  </si>
  <si>
    <t>126</t>
  </si>
  <si>
    <t>SALES RITEFILL DSD SOUTH</t>
  </si>
  <si>
    <t>128</t>
  </si>
  <si>
    <t xml:space="preserve">GALAXY A13 </t>
  </si>
  <si>
    <t>DE LOS SANTOS, LUIS</t>
  </si>
  <si>
    <t>RODRIGUEZ SR, CHRISTIAN MICHEAL</t>
  </si>
  <si>
    <t>130</t>
  </si>
  <si>
    <t>FERRER BRACHO, MERVIN J</t>
  </si>
  <si>
    <t>FUENMAYOR, ANDRES</t>
  </si>
  <si>
    <t>132</t>
  </si>
  <si>
    <t>812-893-5245</t>
  </si>
  <si>
    <t>RIOS BLANDON, AUGUSTO C</t>
  </si>
  <si>
    <t>134</t>
  </si>
  <si>
    <t>136</t>
  </si>
  <si>
    <t>IPHONE13 128GB MDN NVZ ATT-2</t>
  </si>
  <si>
    <t>SILVA, ELISA</t>
  </si>
  <si>
    <t>IP 10.9 64 BLUE 22</t>
  </si>
  <si>
    <t>138</t>
  </si>
  <si>
    <t>Iphone 13</t>
  </si>
  <si>
    <t>MACHIN BENCOMO, AMALIA</t>
  </si>
  <si>
    <t>Ipad 8th Generation</t>
  </si>
  <si>
    <t>140</t>
  </si>
  <si>
    <t>ATLANTA</t>
  </si>
  <si>
    <t>142</t>
  </si>
  <si>
    <t>144</t>
  </si>
  <si>
    <t>GABRIEL ABOUK...</t>
  </si>
  <si>
    <t>146</t>
  </si>
  <si>
    <t>148</t>
  </si>
  <si>
    <t>SALGUERO CHEW, RONALD L</t>
  </si>
  <si>
    <t>150</t>
  </si>
  <si>
    <t>Backup Internet</t>
  </si>
  <si>
    <t xml:space="preserve">Backup  </t>
  </si>
  <si>
    <t>backup</t>
  </si>
  <si>
    <t>283-229-3008</t>
  </si>
  <si>
    <t>Samsung Galaxy S21SG</t>
  </si>
  <si>
    <t>3518 6762025 7227 </t>
  </si>
  <si>
    <t>Harris, William</t>
  </si>
  <si>
    <t>LOGISTIC NORTH</t>
  </si>
  <si>
    <t>283-229-3007</t>
  </si>
  <si>
    <t>3517 0086072 4517 </t>
  </si>
  <si>
    <t>Paumier, Ernesto</t>
  </si>
  <si>
    <t>Fecha</t>
  </si>
  <si>
    <t>Cambio</t>
  </si>
  <si>
    <t>Ejecutado</t>
  </si>
  <si>
    <t>Nuevo telefono para ana ferrerira, el viejo se arruino.</t>
  </si>
  <si>
    <t>SI</t>
  </si>
  <si>
    <t>Nuevo telefono para nuevo amalia</t>
  </si>
  <si>
    <t>NO</t>
  </si>
  <si>
    <t>a medias, confirmar</t>
  </si>
  <si>
    <t>Nuevo ipad para nuevo amalia</t>
  </si>
  <si>
    <t>Cambio de telefono al nuevo route leader</t>
  </si>
  <si>
    <t>IPAD RITEFILL DSD ALABAMA</t>
  </si>
  <si>
    <t>IPOHNE RITEFILL DSD ALABAMA</t>
  </si>
  <si>
    <t>17 marzo</t>
  </si>
  <si>
    <t>Jorge Tangredi por fernando lescano de DSD</t>
  </si>
  <si>
    <t>cambio de tangredi a Endri fernandez</t>
  </si>
  <si>
    <t>Accion</t>
  </si>
  <si>
    <t>Usuario anterior</t>
  </si>
  <si>
    <t>Nuevo usuario</t>
  </si>
  <si>
    <t>Fecha del cambio</t>
  </si>
  <si>
    <t>Motivo</t>
  </si>
  <si>
    <t>Donde se hizo o cambio</t>
  </si>
  <si>
    <t>Linea</t>
  </si>
  <si>
    <t>Ususario que registro el cambio</t>
  </si>
  <si>
    <t>Nuevo</t>
  </si>
  <si>
    <t>Actualizacion de telefono</t>
  </si>
  <si>
    <t>En Teams, edwin</t>
  </si>
  <si>
    <t>Misma linea de Henry</t>
  </si>
  <si>
    <t>Ch</t>
  </si>
  <si>
    <t>016</t>
  </si>
  <si>
    <t>Baja</t>
  </si>
  <si>
    <t>ch</t>
  </si>
  <si>
    <t>Asignacion</t>
  </si>
  <si>
    <t>VIVAS, REYNA</t>
  </si>
  <si>
    <t>Asignado nuevo desde el Stock</t>
  </si>
  <si>
    <t>Correo don Nico 7 marzo</t>
  </si>
  <si>
    <t>Teams Alejandra y eduardo 13 marzo</t>
  </si>
  <si>
    <t>087</t>
  </si>
  <si>
    <t>IPHONE11 64G BLACK NVZ ATT</t>
  </si>
  <si>
    <t>disponible</t>
  </si>
  <si>
    <t>DISPONIBLE</t>
  </si>
  <si>
    <t>Linea movil</t>
  </si>
  <si>
    <t>ESTADO</t>
  </si>
  <si>
    <t>UBICACION</t>
  </si>
  <si>
    <t>FECHA DE ENTRADA</t>
  </si>
  <si>
    <t>CONDICION</t>
  </si>
  <si>
    <t>OBSERVACIONES</t>
  </si>
  <si>
    <t>ENTREGADO POR EDWIN</t>
  </si>
  <si>
    <t>FECHA DE ENTREGA</t>
  </si>
  <si>
    <t>SIN LINEA</t>
  </si>
  <si>
    <t>Disponible</t>
  </si>
  <si>
    <t>Pantalla Rota</t>
  </si>
  <si>
    <t xml:space="preserve">Galaxy A13  </t>
  </si>
  <si>
    <t>bloqueado</t>
  </si>
  <si>
    <t>GALAXY A23</t>
  </si>
  <si>
    <t>355978840907032</t>
  </si>
  <si>
    <t>355978840914517</t>
  </si>
  <si>
    <t>N/A</t>
  </si>
  <si>
    <t>GALAXY</t>
  </si>
  <si>
    <t>351082125235047</t>
  </si>
  <si>
    <t>GALAXY A13</t>
  </si>
  <si>
    <t>351082121009370</t>
  </si>
  <si>
    <t>351082120933729</t>
  </si>
  <si>
    <t>IPHONE 14 PLUS</t>
  </si>
  <si>
    <t>353547799505980</t>
  </si>
  <si>
    <t>Iphone 12</t>
  </si>
  <si>
    <t>DEBORA</t>
  </si>
  <si>
    <t>GALAXY S21</t>
  </si>
  <si>
    <t>351867620257227</t>
  </si>
  <si>
    <t>iPhone SE (2022) A2595 64GB Midnight</t>
  </si>
  <si>
    <t>DESACTIVADO</t>
  </si>
  <si>
    <t>PANTALLA ROTA</t>
  </si>
  <si>
    <t>351082125564644</t>
  </si>
  <si>
    <t>351700860724517</t>
  </si>
  <si>
    <t>355978840905150</t>
  </si>
  <si>
    <t>NO PRENDE NI CARGA</t>
  </si>
  <si>
    <t>GALAXY A42</t>
  </si>
  <si>
    <t>350760505489398</t>
  </si>
  <si>
    <t>351867620294691</t>
  </si>
  <si>
    <t>BLOQUEADO</t>
  </si>
  <si>
    <t>355978840919698</t>
  </si>
  <si>
    <t>351082120925667</t>
  </si>
  <si>
    <t>351867620295847</t>
  </si>
  <si>
    <t>RASPADO</t>
  </si>
  <si>
    <t>GALAXY A53</t>
  </si>
  <si>
    <t>351024052368565</t>
  </si>
  <si>
    <t>BUENA CONDICION</t>
  </si>
  <si>
    <t>355978840945131</t>
  </si>
  <si>
    <t>351867620293321</t>
  </si>
  <si>
    <t>351700860705797</t>
  </si>
  <si>
    <t>351082125350952</t>
  </si>
  <si>
    <t>351867620296514</t>
  </si>
  <si>
    <t>351867620292034</t>
  </si>
  <si>
    <t>ROTO</t>
  </si>
  <si>
    <t>GALAXI A53</t>
  </si>
  <si>
    <t>350012621678177</t>
  </si>
  <si>
    <t>351082122246005</t>
  </si>
  <si>
    <t>351082120669125</t>
  </si>
  <si>
    <t>GALAXY A32</t>
  </si>
  <si>
    <t>350091125597968</t>
  </si>
  <si>
    <t>Verizon</t>
  </si>
  <si>
    <t>IPAD NUEVA PARA VENDEDORA DSD MEMHPIS</t>
  </si>
  <si>
    <t>dispositivo de simcards</t>
  </si>
  <si>
    <t xml:space="preserve">ETF FEE DE VERIZON PARA TENERLO EN EL RADAR. </t>
  </si>
  <si>
    <t xml:space="preserve">MIN 10 </t>
  </si>
  <si>
    <t>ANALISIS EN BASE A LAS REGIONES DE LOS PRECIOS</t>
  </si>
  <si>
    <t xml:space="preserve">SI HAY PRODUCTOS QUE ANTES SE VENDIA MAS O MENOS Y VER ESTO. </t>
  </si>
  <si>
    <t xml:space="preserve">A NIVEL DE PRODUCTOS / Cajas vendemos menos del ano pasado. </t>
  </si>
  <si>
    <t xml:space="preserve">Tenemos mas vendedores y tenemos menos volumen. </t>
  </si>
  <si>
    <t>Impacto en elasticidad</t>
  </si>
  <si>
    <t xml:space="preserve">Analisis de rentabilidad o marginal de las marcas o de los productos. </t>
  </si>
  <si>
    <t>min 20</t>
  </si>
  <si>
    <t xml:space="preserve">Dentro de las menos rentables es por precio, productos, etc. </t>
  </si>
  <si>
    <t xml:space="preserve">no se vende por el inventario y la fuerza de venta. </t>
  </si>
  <si>
    <t>Profundizar hasta donde pueda</t>
  </si>
  <si>
    <t xml:space="preserve">TOP 30 PRODUCTOS si le podemos subir a un par de esos y como se miraria eso. </t>
  </si>
  <si>
    <t xml:space="preserve">Productos menos rentables y ajustarles el margen minimo. </t>
  </si>
  <si>
    <t>min 25</t>
  </si>
  <si>
    <t xml:space="preserve">rentabilidad por marca, analisis por vendor por volumen y no por porcentaje. </t>
  </si>
  <si>
    <t>fillrate de $300,000. $</t>
  </si>
  <si>
    <t>317-366-4495</t>
  </si>
  <si>
    <t>615-728-2728</t>
  </si>
  <si>
    <t>615-728-2734</t>
  </si>
  <si>
    <t>615-924-1526</t>
  </si>
  <si>
    <t>615-930-7736</t>
  </si>
  <si>
    <t>615-979-9910</t>
  </si>
  <si>
    <t>629-468-0618</t>
  </si>
  <si>
    <t>615-881-6408</t>
  </si>
  <si>
    <t>Dispositivo</t>
  </si>
  <si>
    <t>Confirmacion o comentarios</t>
  </si>
  <si>
    <t>SEND</t>
  </si>
  <si>
    <t>RECIBIDO</t>
  </si>
  <si>
    <t>RRHH</t>
  </si>
  <si>
    <t>x</t>
  </si>
  <si>
    <t>FINANCE</t>
  </si>
  <si>
    <t>ESG</t>
  </si>
  <si>
    <t>Fecha de desconeccion</t>
  </si>
  <si>
    <t>615-946-7544</t>
  </si>
  <si>
    <t xml:space="preserve">5G MIFI </t>
  </si>
  <si>
    <t>5G MIFI M1000</t>
  </si>
  <si>
    <t>DESCONECTADA</t>
  </si>
  <si>
    <t>Netgear</t>
  </si>
  <si>
    <t>Nighthawk LTE Mobile Hotspot Router MR1100 2018 Steel Gray</t>
  </si>
  <si>
    <t>615-812-8133</t>
  </si>
  <si>
    <t>IPAD PRO 12.9 256 GRY</t>
  </si>
  <si>
    <t>Suspendida por don nico por no uso con patricia</t>
  </si>
  <si>
    <t>SUSPENDIDA</t>
  </si>
  <si>
    <t>NEW INDY USER...</t>
  </si>
  <si>
    <t>GABRIEL NASHV...</t>
  </si>
  <si>
    <t>REPLACEMENT L...</t>
  </si>
  <si>
    <t>Requerimientos de don Nico</t>
  </si>
  <si>
    <t>Lista de lo que estamos pagados con la ultima factura, lineas actuales de ATT (cobrado)</t>
  </si>
  <si>
    <t xml:space="preserve">A LA PAR ponerle que yo deberia de pagar $25 las actuales. </t>
  </si>
  <si>
    <t>lineas con Verizon de migracion, $15 por linea</t>
  </si>
  <si>
    <t xml:space="preserve">Verizon en otro listado y cuanto estamos pagados. </t>
  </si>
  <si>
    <t>agregar tema de salida en dispositivos</t>
  </si>
  <si>
    <t>revisar telefonos de johan y meraria</t>
  </si>
  <si>
    <t>ETF LAS AMARILLAS, PARA DAR DE BAJA ESAS 2 LINEAS</t>
  </si>
  <si>
    <t>no tener lineas de backup</t>
  </si>
  <si>
    <t>DESCONECTADA Y PASADA A ATT</t>
  </si>
  <si>
    <t># Factura</t>
  </si>
  <si>
    <t>Period - Invoice</t>
  </si>
  <si>
    <t>Period Limena</t>
  </si>
  <si>
    <t>User actual</t>
  </si>
  <si>
    <t># Mobil</t>
  </si>
  <si>
    <t>Page Number</t>
  </si>
  <si>
    <t>Monthly
Charges</t>
  </si>
  <si>
    <t>Usage
and
Purchase
Charges</t>
  </si>
  <si>
    <t>Equipment
Charges</t>
  </si>
  <si>
    <t>Surcharges
and Other
Charges and
Credits</t>
  </si>
  <si>
    <t>Taxes,
Governmental
Surcharges
and Fees</t>
  </si>
  <si>
    <t>Third-Party
Charges
(includes Tax)</t>
  </si>
  <si>
    <t>Total
Charges</t>
  </si>
  <si>
    <t>CTA</t>
  </si>
  <si>
    <t>Director</t>
  </si>
  <si>
    <t>Manager</t>
  </si>
  <si>
    <t>DEP</t>
  </si>
  <si>
    <t>287289507033X06092025</t>
  </si>
  <si>
    <t>JUNIO</t>
  </si>
  <si>
    <t>5</t>
  </si>
  <si>
    <t>04</t>
  </si>
  <si>
    <t>0401</t>
  </si>
  <si>
    <t>040101</t>
  </si>
  <si>
    <t>$0.00</t>
  </si>
  <si>
    <t>$4.54</t>
  </si>
  <si>
    <t>$5.83</t>
  </si>
  <si>
    <t>040105</t>
  </si>
  <si>
    <t>$4.87</t>
  </si>
  <si>
    <t>$5.37</t>
  </si>
  <si>
    <t>$1.33</t>
  </si>
  <si>
    <t>ERNESTO PAUMIER - N...</t>
  </si>
  <si>
    <t>$21.00</t>
  </si>
  <si>
    <t>$5.30</t>
  </si>
  <si>
    <t>$2.87</t>
  </si>
  <si>
    <t>03</t>
  </si>
  <si>
    <t>0303</t>
  </si>
  <si>
    <t>030302</t>
  </si>
  <si>
    <t>WILLIAM HARRIS - NO...</t>
  </si>
  <si>
    <t>$7.20</t>
  </si>
  <si>
    <t>040103</t>
  </si>
  <si>
    <t>040102</t>
  </si>
  <si>
    <t>$1.47</t>
  </si>
  <si>
    <t>$3.71</t>
  </si>
  <si>
    <t>$2.14</t>
  </si>
  <si>
    <t>0302</t>
  </si>
  <si>
    <t>030201</t>
  </si>
  <si>
    <t>-$8.34</t>
  </si>
  <si>
    <t>$4.75</t>
  </si>
  <si>
    <t>$4.25</t>
  </si>
  <si>
    <t>$1.66</t>
  </si>
  <si>
    <t>$4.88</t>
  </si>
  <si>
    <t>$2.36</t>
  </si>
  <si>
    <t>030301</t>
  </si>
  <si>
    <t>$4.61</t>
  </si>
  <si>
    <t>$5.10</t>
  </si>
  <si>
    <t>0402</t>
  </si>
  <si>
    <t>040202</t>
  </si>
  <si>
    <t>$4.86</t>
  </si>
  <si>
    <t>$2.48</t>
  </si>
  <si>
    <t>030308</t>
  </si>
  <si>
    <t>09</t>
  </si>
  <si>
    <t>0900</t>
  </si>
  <si>
    <t>090000</t>
  </si>
  <si>
    <t>$0.44</t>
  </si>
  <si>
    <t>$6.74</t>
  </si>
  <si>
    <t>$7.65</t>
  </si>
  <si>
    <t>02</t>
  </si>
  <si>
    <t>0200</t>
  </si>
  <si>
    <t>020000</t>
  </si>
  <si>
    <t>06</t>
  </si>
  <si>
    <t>0600</t>
  </si>
  <si>
    <t>060000</t>
  </si>
  <si>
    <t>040201</t>
  </si>
  <si>
    <t>$10.03</t>
  </si>
  <si>
    <t>$8.33</t>
  </si>
  <si>
    <t>1100</t>
  </si>
  <si>
    <t>110001</t>
  </si>
  <si>
    <t>040110</t>
  </si>
  <si>
    <t>$18.00</t>
  </si>
  <si>
    <t>$11.13</t>
  </si>
  <si>
    <t>$8.55</t>
  </si>
  <si>
    <t>01</t>
  </si>
  <si>
    <t>0100</t>
  </si>
  <si>
    <t>010000</t>
  </si>
  <si>
    <t>0300</t>
  </si>
  <si>
    <t>030000</t>
  </si>
  <si>
    <t>-$19.45</t>
  </si>
  <si>
    <t>$4.30</t>
  </si>
  <si>
    <t>-$1.39</t>
  </si>
  <si>
    <t>030303</t>
  </si>
  <si>
    <t>$3.66</t>
  </si>
  <si>
    <t>040204</t>
  </si>
  <si>
    <t>$2.75</t>
  </si>
  <si>
    <t>$4.23</t>
  </si>
  <si>
    <t>040203</t>
  </si>
  <si>
    <t>287289507033X07092025</t>
  </si>
  <si>
    <t>JULIO</t>
  </si>
  <si>
    <t>DANIEL FLORES...</t>
  </si>
  <si>
    <t>ERNESTO PAUMI...</t>
  </si>
  <si>
    <t>WILLIAM HARRI...</t>
  </si>
  <si>
    <t>JUAN CARLOS C...</t>
  </si>
  <si>
    <t>ARTURO VILLAV...</t>
  </si>
  <si>
    <t>CINCINNATI LI...</t>
  </si>
  <si>
    <t>CECILIA HERRE...</t>
  </si>
  <si>
    <t>614-270-5544</t>
  </si>
  <si>
    <t>614-282-7404</t>
  </si>
  <si>
    <t>EDGAR FERNAND...</t>
  </si>
  <si>
    <t>JESSICA BARAJ...</t>
  </si>
  <si>
    <t>ROSMARY SILVA...</t>
  </si>
  <si>
    <t>WAREHOUSE TN ...</t>
  </si>
  <si>
    <t>ELISA GECHELE...</t>
  </si>
  <si>
    <t>ZEDERICK PATINO</t>
  </si>
  <si>
    <t>615-768-6382</t>
  </si>
  <si>
    <t>IPADAMALIA BE...</t>
  </si>
  <si>
    <t>LEONARDO PALE...</t>
  </si>
  <si>
    <t>NICOLAS QUIJA...</t>
  </si>
  <si>
    <t>CAROLINA TORR...</t>
  </si>
  <si>
    <t>PATRICIA VALESKA</t>
  </si>
  <si>
    <t>615-967-4885</t>
  </si>
  <si>
    <t>AUGUSTO RIOS</t>
  </si>
  <si>
    <t>615-967-5420</t>
  </si>
  <si>
    <t>MILIBE MERCEDEZ</t>
  </si>
  <si>
    <t>615-967-6709</t>
  </si>
  <si>
    <t>DILVER GARCIA...</t>
  </si>
  <si>
    <t>629-217-4827</t>
  </si>
  <si>
    <t>DIANA REYES</t>
  </si>
  <si>
    <t>629-318-8033</t>
  </si>
  <si>
    <t>CECILIA HERRERA</t>
  </si>
  <si>
    <t>629-318-8402</t>
  </si>
  <si>
    <t>629-318-8403</t>
  </si>
  <si>
    <t>IPADREYNA VIV...</t>
  </si>
  <si>
    <t>ROSMARY LA CR...</t>
  </si>
  <si>
    <t>IPAD DISTRIBU...</t>
  </si>
  <si>
    <t>IPAD IPAD</t>
  </si>
  <si>
    <t>629-345-3262</t>
  </si>
  <si>
    <t>MARANGELIE RI...</t>
  </si>
  <si>
    <t>IPAD RAFAEL C...</t>
  </si>
  <si>
    <t>IPAD EDILIA S...</t>
  </si>
  <si>
    <t>DSD IPHONE AL...</t>
  </si>
  <si>
    <t>FABIOLA ROJAS...</t>
  </si>
  <si>
    <t>271</t>
  </si>
  <si>
    <t>273</t>
  </si>
  <si>
    <t>275</t>
  </si>
  <si>
    <t>VERUUZKO RODR...</t>
  </si>
  <si>
    <t>277</t>
  </si>
  <si>
    <t>279</t>
  </si>
  <si>
    <t>281</t>
  </si>
  <si>
    <t>283</t>
  </si>
  <si>
    <t>285</t>
  </si>
  <si>
    <t>HELEN MADRIGA...</t>
  </si>
  <si>
    <t>287</t>
  </si>
  <si>
    <t>CESAR RODRIGU...</t>
  </si>
  <si>
    <t>289</t>
  </si>
  <si>
    <t>JOSEFINA AVAL...</t>
  </si>
  <si>
    <t>291</t>
  </si>
  <si>
    <t>293</t>
  </si>
  <si>
    <t>295</t>
  </si>
  <si>
    <t>RAFAEL CHANCH...</t>
  </si>
  <si>
    <t>297</t>
  </si>
  <si>
    <t>ANA CAROLINA ...</t>
  </si>
  <si>
    <t>299</t>
  </si>
  <si>
    <r>
      <rPr>
        <sz val="9"/>
        <color rgb="FFFF0000"/>
        <rFont val="Aptos Narrow"/>
        <family val="2"/>
        <scheme val="minor"/>
      </rPr>
      <t>Wireless - Data Credit</t>
    </r>
    <r>
      <rPr>
        <sz val="11"/>
        <color theme="1"/>
        <rFont val="Aptos Narrow"/>
        <family val="2"/>
        <scheme val="minor"/>
      </rPr>
      <t xml:space="preserve"> / 287289507033X07092025</t>
    </r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</si>
  <si>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</si>
  <si>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</si>
  <si>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</si>
  <si>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</si>
  <si>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</si>
  <si>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</si>
  <si>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</si>
  <si>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</si>
  <si>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</si>
  <si>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</si>
  <si>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</si>
  <si>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</si>
  <si>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</si>
  <si>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</si>
  <si>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</si>
  <si>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</si>
  <si>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</si>
  <si>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</si>
  <si>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</si>
  <si>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</si>
  <si>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</si>
  <si>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</si>
  <si>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</si>
  <si>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</si>
  <si>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</si>
  <si>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</si>
  <si>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</si>
  <si>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</si>
  <si>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</si>
  <si>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</si>
  <si>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</si>
  <si>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</si>
  <si>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</si>
  <si>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</si>
  <si>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</si>
  <si>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</si>
  <si>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</si>
  <si>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</si>
  <si>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</si>
  <si>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</si>
  <si>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</si>
  <si>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</si>
  <si>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</si>
  <si>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</si>
  <si>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</si>
  <si>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</si>
  <si>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</si>
  <si>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iphone o ipad</t>
  </si>
  <si>
    <t>migrado</t>
  </si>
  <si>
    <t>COBRO ACORDADO</t>
  </si>
  <si>
    <t>monto REAL Cobrado</t>
  </si>
  <si>
    <t>Credito junio</t>
  </si>
  <si>
    <t>Credito que nos deben</t>
  </si>
  <si>
    <t>Monto pactado</t>
  </si>
  <si>
    <t>Total REAL junio</t>
  </si>
  <si>
    <t>TOTAL</t>
  </si>
  <si>
    <t xml:space="preserve">Monto acordado </t>
  </si>
  <si>
    <t>Credito aplicado</t>
  </si>
  <si>
    <t>(All)</t>
  </si>
  <si>
    <t>Total</t>
  </si>
  <si>
    <t>Total de Credito Ethnix Group</t>
  </si>
  <si>
    <t>Detail</t>
  </si>
  <si>
    <t>International Calls</t>
  </si>
  <si>
    <t xml:space="preserve">March </t>
  </si>
  <si>
    <t>April</t>
  </si>
  <si>
    <t>May</t>
  </si>
  <si>
    <t>June</t>
  </si>
  <si>
    <t>July</t>
  </si>
  <si>
    <t>August</t>
  </si>
  <si>
    <t>Real Charge</t>
  </si>
  <si>
    <t>513-781-1073</t>
  </si>
  <si>
    <t>Cesar Nunez</t>
  </si>
  <si>
    <t>etf</t>
  </si>
  <si>
    <t>REVISADO SEPT 15</t>
  </si>
  <si>
    <t>REVISAR QUIEN LO TIENE</t>
  </si>
  <si>
    <t>desconectarla</t>
  </si>
  <si>
    <t>TRANSFERENCIA DE PIN</t>
  </si>
  <si>
    <t>YES</t>
  </si>
  <si>
    <t>615-832-0906</t>
  </si>
  <si>
    <t>jg martine</t>
  </si>
  <si>
    <t>yes</t>
  </si>
  <si>
    <t>CAMBIAR NOMBRE VERIZON</t>
  </si>
  <si>
    <t>Yes</t>
  </si>
  <si>
    <t xml:space="preserve">quien lo tiene </t>
  </si>
  <si>
    <t>sale ocmo veruuzko pero lo tiene alejandra</t>
  </si>
  <si>
    <t>revisar quien la tiene</t>
  </si>
  <si>
    <t>901-495-4023</t>
  </si>
  <si>
    <t>DESCONECTARLO</t>
  </si>
  <si>
    <t>Migracion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</si>
</sst>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6" fillId="0" borderId="0"/>
  </cellStyleXfs>
  <cellXfs count="153">
    <xf numFmtId="0" fontId="0" fillId="0" borderId="0" xfId="0"/>
    <xf numFmtId="0" fontId="0" fillId="2" borderId="0" xfId="0" quotePrefix="1" applyFill="1" applyAlignment="1">
      <alignment horizontal="center"/>
    </xf>
    <xf numFmtId="16" fontId="0" fillId="0" borderId="0" xfId="0" applyNumberFormat="1"/>
    <xf numFmtId="1" fontId="0" fillId="2" borderId="0" xfId="0" applyNumberFormat="1" applyFill="1"/>
    <xf numFmtId="0" fontId="0" fillId="3" borderId="0" xfId="0" applyFill="1"/>
    <xf numFmtId="1" fontId="0" fillId="0" borderId="0" xfId="0" applyNumberFormat="1"/>
    <xf numFmtId="1" fontId="0" fillId="3" borderId="0" xfId="0" applyNumberFormat="1" applyFill="1"/>
    <xf numFmtId="0" fontId="4" fillId="0" borderId="0" xfId="0" applyFont="1"/>
    <xf numFmtId="0" fontId="5" fillId="4" borderId="0" xfId="0" applyFont="1" applyFill="1"/>
    <xf numFmtId="16" fontId="0" fillId="3" borderId="0" xfId="0" applyNumberFormat="1" applyFill="1"/>
    <xf numFmtId="0" fontId="0" fillId="5" borderId="0" xfId="0" quotePrefix="1" applyFill="1" applyAlignment="1">
      <alignment horizontal="center"/>
    </xf>
    <xf numFmtId="0" fontId="0" fillId="5" borderId="0" xfId="0" applyFill="1"/>
    <xf numFmtId="1" fontId="0" fillId="5" borderId="0" xfId="0" applyNumberFormat="1" applyFill="1"/>
    <xf numFmtId="0" fontId="0" fillId="6" borderId="0" xfId="0" quotePrefix="1" applyFill="1" applyAlignment="1">
      <alignment horizontal="center"/>
    </xf>
    <xf numFmtId="0" fontId="0" fillId="6" borderId="0" xfId="0" applyFill="1"/>
    <xf numFmtId="1" fontId="0" fillId="6" borderId="0" xfId="0" applyNumberFormat="1" applyFill="1"/>
    <xf numFmtId="16" fontId="0" fillId="6" borderId="0" xfId="0" applyNumberFormat="1" applyFill="1"/>
    <xf numFmtId="0" fontId="0" fillId="7" borderId="0" xfId="0" applyFill="1"/>
    <xf numFmtId="1" fontId="0" fillId="7" borderId="0" xfId="0" applyNumberFormat="1" applyFill="1"/>
    <xf numFmtId="16" fontId="0" fillId="7" borderId="0" xfId="0" applyNumberFormat="1" applyFill="1"/>
    <xf numFmtId="0" fontId="0" fillId="7" borderId="0" xfId="0" quotePrefix="1" applyFill="1" applyAlignment="1">
      <alignment horizontal="center"/>
    </xf>
    <xf numFmtId="0" fontId="0" fillId="2" borderId="0" xfId="0" applyFill="1"/>
    <xf numFmtId="16" fontId="0" fillId="2" borderId="0" xfId="0" applyNumberFormat="1" applyFill="1"/>
    <xf numFmtId="0" fontId="0" fillId="8" borderId="0" xfId="0" applyFill="1"/>
    <xf numFmtId="1" fontId="0" fillId="8" borderId="0" xfId="0" applyNumberFormat="1" applyFill="1"/>
    <xf numFmtId="16" fontId="0" fillId="8" borderId="0" xfId="0" applyNumberFormat="1" applyFill="1"/>
    <xf numFmtId="44" fontId="0" fillId="0" borderId="0" xfId="1" applyFont="1"/>
    <xf numFmtId="0" fontId="0" fillId="0" borderId="1" xfId="0" applyBorder="1"/>
    <xf numFmtId="0" fontId="0" fillId="13" borderId="0" xfId="0" applyFill="1"/>
    <xf numFmtId="1" fontId="0" fillId="13" borderId="0" xfId="0" applyNumberFormat="1" applyFill="1"/>
    <xf numFmtId="0" fontId="7" fillId="0" borderId="0" xfId="0" applyFont="1" applyAlignment="1">
      <alignment horizontal="left" vertical="center" indent="1"/>
    </xf>
    <xf numFmtId="0" fontId="0" fillId="4" borderId="0" xfId="0" applyFill="1"/>
    <xf numFmtId="0" fontId="0" fillId="13" borderId="0" xfId="0" quotePrefix="1" applyFill="1" applyAlignment="1">
      <alignment horizontal="center"/>
    </xf>
    <xf numFmtId="16" fontId="0" fillId="13" borderId="0" xfId="0" applyNumberFormat="1" applyFill="1"/>
    <xf numFmtId="0" fontId="0" fillId="11" borderId="0" xfId="0" applyFill="1"/>
    <xf numFmtId="8" fontId="4" fillId="0" borderId="0" xfId="0" applyNumberFormat="1" applyFont="1"/>
    <xf numFmtId="0" fontId="0" fillId="0" borderId="3" xfId="0" applyBorder="1"/>
    <xf numFmtId="0" fontId="0" fillId="14" borderId="3" xfId="0" applyFill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8" fillId="13" borderId="0" xfId="0" applyFont="1" applyFill="1"/>
    <xf numFmtId="0" fontId="4" fillId="15" borderId="0" xfId="0" applyFont="1" applyFill="1"/>
    <xf numFmtId="0" fontId="0" fillId="5" borderId="3" xfId="0" applyFill="1" applyBorder="1"/>
    <xf numFmtId="0" fontId="0" fillId="5" borderId="2" xfId="0" applyFill="1" applyBorder="1"/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8" fontId="0" fillId="0" borderId="2" xfId="0" applyNumberFormat="1" applyBorder="1"/>
    <xf numFmtId="0" fontId="0" fillId="0" borderId="4" xfId="0" applyBorder="1"/>
    <xf numFmtId="0" fontId="0" fillId="14" borderId="2" xfId="0" applyFill="1" applyBorder="1"/>
    <xf numFmtId="8" fontId="0" fillId="14" borderId="2" xfId="0" applyNumberFormat="1" applyFill="1" applyBorder="1"/>
    <xf numFmtId="0" fontId="0" fillId="14" borderId="4" xfId="0" applyFill="1" applyBorder="1"/>
    <xf numFmtId="0" fontId="0" fillId="16" borderId="0" xfId="0" quotePrefix="1" applyFill="1" applyAlignment="1">
      <alignment horizontal="center"/>
    </xf>
    <xf numFmtId="0" fontId="0" fillId="16" borderId="0" xfId="0" applyFill="1"/>
    <xf numFmtId="1" fontId="0" fillId="16" borderId="0" xfId="0" applyNumberFormat="1" applyFill="1"/>
    <xf numFmtId="16" fontId="0" fillId="16" borderId="0" xfId="0" applyNumberFormat="1" applyFill="1"/>
    <xf numFmtId="0" fontId="9" fillId="0" borderId="0" xfId="0" applyFont="1"/>
    <xf numFmtId="0" fontId="0" fillId="3" borderId="3" xfId="0" applyFill="1" applyBorder="1"/>
    <xf numFmtId="0" fontId="0" fillId="17" borderId="3" xfId="0" applyFill="1" applyBorder="1"/>
    <xf numFmtId="0" fontId="0" fillId="6" borderId="0" xfId="0" applyFill="1" applyAlignment="1">
      <alignment horizontal="center"/>
    </xf>
    <xf numFmtId="0" fontId="0" fillId="18" borderId="3" xfId="0" applyFill="1" applyBorder="1"/>
    <xf numFmtId="0" fontId="0" fillId="18" borderId="2" xfId="0" applyFill="1" applyBorder="1"/>
    <xf numFmtId="8" fontId="0" fillId="18" borderId="2" xfId="0" applyNumberFormat="1" applyFill="1" applyBorder="1"/>
    <xf numFmtId="0" fontId="0" fillId="18" borderId="4" xfId="0" applyFill="1" applyBorder="1"/>
    <xf numFmtId="44" fontId="0" fillId="6" borderId="0" xfId="1" applyFont="1" applyFill="1"/>
    <xf numFmtId="0" fontId="0" fillId="4" borderId="0" xfId="0" quotePrefix="1" applyFill="1" applyAlignment="1">
      <alignment horizontal="center"/>
    </xf>
    <xf numFmtId="1" fontId="0" fillId="4" borderId="0" xfId="0" applyNumberFormat="1" applyFill="1"/>
    <xf numFmtId="0" fontId="0" fillId="19" borderId="0" xfId="0" quotePrefix="1" applyFill="1" applyAlignment="1">
      <alignment horizontal="center"/>
    </xf>
    <xf numFmtId="0" fontId="0" fillId="19" borderId="0" xfId="0" applyFill="1"/>
    <xf numFmtId="0" fontId="0" fillId="20" borderId="0" xfId="0" quotePrefix="1" applyFill="1" applyAlignment="1">
      <alignment horizontal="center"/>
    </xf>
    <xf numFmtId="0" fontId="0" fillId="20" borderId="0" xfId="0" applyFill="1"/>
    <xf numFmtId="1" fontId="0" fillId="20" borderId="0" xfId="0" applyNumberFormat="1" applyFill="1"/>
    <xf numFmtId="0" fontId="10" fillId="16" borderId="0" xfId="0" applyFont="1" applyFill="1" applyAlignment="1">
      <alignment horizontal="center" vertical="center" wrapText="1"/>
    </xf>
    <xf numFmtId="0" fontId="10" fillId="16" borderId="0" xfId="0" applyFont="1" applyFill="1" applyAlignment="1">
      <alignment vertical="center" wrapText="1"/>
    </xf>
    <xf numFmtId="0" fontId="10" fillId="22" borderId="0" xfId="0" applyFont="1" applyFill="1" applyAlignment="1">
      <alignment horizontal="center" vertical="center" wrapText="1"/>
    </xf>
    <xf numFmtId="0" fontId="11" fillId="23" borderId="0" xfId="0" applyFont="1" applyFill="1" applyAlignment="1">
      <alignment horizontal="center" vertical="center"/>
    </xf>
    <xf numFmtId="49" fontId="11" fillId="23" borderId="0" xfId="0" applyNumberFormat="1" applyFont="1" applyFill="1" applyAlignment="1">
      <alignment horizontal="center" vertical="center"/>
    </xf>
    <xf numFmtId="0" fontId="0" fillId="0" borderId="6" xfId="0" applyBorder="1"/>
    <xf numFmtId="0" fontId="0" fillId="14" borderId="7" xfId="0" applyFill="1" applyBorder="1"/>
    <xf numFmtId="8" fontId="0" fillId="0" borderId="6" xfId="0" applyNumberFormat="1" applyBorder="1"/>
    <xf numFmtId="44" fontId="0" fillId="0" borderId="8" xfId="1" applyFont="1" applyBorder="1"/>
    <xf numFmtId="44" fontId="0" fillId="14" borderId="4" xfId="1" applyFont="1" applyFill="1" applyBorder="1"/>
    <xf numFmtId="44" fontId="0" fillId="0" borderId="4" xfId="1" applyFont="1" applyBorder="1"/>
    <xf numFmtId="0" fontId="0" fillId="23" borderId="2" xfId="0" applyFill="1" applyBorder="1"/>
    <xf numFmtId="0" fontId="0" fillId="23" borderId="3" xfId="0" applyFill="1" applyBorder="1"/>
    <xf numFmtId="0" fontId="0" fillId="0" borderId="0" xfId="2" applyFont="1" applyAlignment="1">
      <alignment horizontal="left"/>
    </xf>
    <xf numFmtId="0" fontId="0" fillId="24" borderId="2" xfId="0" applyFill="1" applyBorder="1"/>
    <xf numFmtId="0" fontId="0" fillId="24" borderId="3" xfId="0" applyFill="1" applyBorder="1"/>
    <xf numFmtId="49" fontId="0" fillId="0" borderId="0" xfId="2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14" borderId="10" xfId="0" applyFill="1" applyBorder="1"/>
    <xf numFmtId="0" fontId="0" fillId="14" borderId="11" xfId="0" applyFill="1" applyBorder="1"/>
    <xf numFmtId="8" fontId="0" fillId="14" borderId="10" xfId="0" applyNumberFormat="1" applyFill="1" applyBorder="1"/>
    <xf numFmtId="44" fontId="0" fillId="14" borderId="12" xfId="1" applyFont="1" applyFill="1" applyBorder="1"/>
    <xf numFmtId="0" fontId="0" fillId="0" borderId="9" xfId="0" applyBorder="1" applyAlignment="1">
      <alignment horizontal="left"/>
    </xf>
    <xf numFmtId="0" fontId="0" fillId="17" borderId="2" xfId="0" applyFill="1" applyBorder="1"/>
    <xf numFmtId="0" fontId="0" fillId="3" borderId="2" xfId="0" applyFill="1" applyBorder="1"/>
    <xf numFmtId="0" fontId="0" fillId="2" borderId="2" xfId="0" applyFill="1" applyBorder="1"/>
    <xf numFmtId="0" fontId="0" fillId="0" borderId="10" xfId="0" applyBorder="1"/>
    <xf numFmtId="0" fontId="0" fillId="0" borderId="11" xfId="0" applyBorder="1"/>
    <xf numFmtId="8" fontId="0" fillId="0" borderId="10" xfId="0" applyNumberFormat="1" applyBorder="1"/>
    <xf numFmtId="44" fontId="0" fillId="0" borderId="12" xfId="1" applyFont="1" applyBorder="1"/>
    <xf numFmtId="14" fontId="0" fillId="21" borderId="5" xfId="0" applyNumberFormat="1" applyFill="1" applyBorder="1"/>
    <xf numFmtId="0" fontId="0" fillId="14" borderId="6" xfId="0" applyFill="1" applyBorder="1"/>
    <xf numFmtId="0" fontId="0" fillId="21" borderId="5" xfId="0" applyFill="1" applyBorder="1" applyAlignment="1">
      <alignment horizontal="left"/>
    </xf>
    <xf numFmtId="0" fontId="0" fillId="21" borderId="13" xfId="0" applyFill="1" applyBorder="1"/>
    <xf numFmtId="14" fontId="0" fillId="0" borderId="14" xfId="0" applyNumberFormat="1" applyBorder="1"/>
    <xf numFmtId="0" fontId="0" fillId="0" borderId="14" xfId="0" applyBorder="1" applyAlignment="1">
      <alignment horizontal="left"/>
    </xf>
    <xf numFmtId="0" fontId="0" fillId="0" borderId="13" xfId="0" applyBorder="1"/>
    <xf numFmtId="14" fontId="0" fillId="21" borderId="14" xfId="0" applyNumberFormat="1" applyFill="1" applyBorder="1"/>
    <xf numFmtId="0" fontId="0" fillId="21" borderId="14" xfId="0" applyFill="1" applyBorder="1" applyAlignment="1">
      <alignment horizontal="left"/>
    </xf>
    <xf numFmtId="0" fontId="0" fillId="25" borderId="2" xfId="0" applyFill="1" applyBorder="1"/>
    <xf numFmtId="14" fontId="0" fillId="21" borderId="15" xfId="0" applyNumberFormat="1" applyFill="1" applyBorder="1"/>
    <xf numFmtId="0" fontId="0" fillId="0" borderId="15" xfId="0" applyBorder="1" applyAlignment="1">
      <alignment horizontal="left"/>
    </xf>
    <xf numFmtId="0" fontId="0" fillId="0" borderId="16" xfId="0" applyBorder="1"/>
    <xf numFmtId="44" fontId="0" fillId="0" borderId="9" xfId="1" applyFont="1" applyBorder="1"/>
    <xf numFmtId="44" fontId="11" fillId="23" borderId="0" xfId="1" applyFont="1" applyFill="1" applyAlignment="1">
      <alignment horizontal="center" vertical="center"/>
    </xf>
    <xf numFmtId="0" fontId="13" fillId="0" borderId="0" xfId="0" applyFont="1"/>
    <xf numFmtId="0" fontId="13" fillId="0" borderId="17" xfId="0" applyFont="1" applyBorder="1"/>
    <xf numFmtId="44" fontId="13" fillId="0" borderId="17" xfId="0" applyNumberFormat="1" applyFont="1" applyBorder="1"/>
    <xf numFmtId="0" fontId="8" fillId="0" borderId="17" xfId="0" applyFont="1" applyBorder="1"/>
    <xf numFmtId="44" fontId="8" fillId="0" borderId="17" xfId="0" applyNumberFormat="1" applyFont="1" applyBorder="1"/>
    <xf numFmtId="0" fontId="8" fillId="0" borderId="0" xfId="0" applyFont="1"/>
    <xf numFmtId="44" fontId="13" fillId="0" borderId="0" xfId="0" applyNumberFormat="1" applyFont="1"/>
    <xf numFmtId="0" fontId="0" fillId="25" borderId="3" xfId="0" applyFill="1" applyBorder="1"/>
    <xf numFmtId="0" fontId="4" fillId="2" borderId="0" xfId="0" applyFont="1" applyFill="1"/>
    <xf numFmtId="0" fontId="0" fillId="26" borderId="0" xfId="0" applyFill="1"/>
    <xf numFmtId="1" fontId="0" fillId="26" borderId="0" xfId="0" applyNumberFormat="1" applyFill="1"/>
    <xf numFmtId="16" fontId="0" fillId="26" borderId="0" xfId="0" applyNumberFormat="1" applyFill="1"/>
    <xf numFmtId="44" fontId="0" fillId="2" borderId="0" xfId="1" applyFont="1" applyFill="1"/>
    <xf numFmtId="44" fontId="0" fillId="26" borderId="0" xfId="1" applyFont="1" applyFill="1"/>
    <xf numFmtId="0" fontId="5" fillId="2" borderId="0" xfId="0" applyFont="1" applyFill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9" fillId="2" borderId="0" xfId="0" applyFont="1" applyFill="1"/>
    <xf numFmtId="1" fontId="0" fillId="19" borderId="0" xfId="0" applyNumberFormat="1" applyFill="1"/>
    <xf numFmtId="16" fontId="0" fillId="19" borderId="0" xfId="0" applyNumberFormat="1" applyFill="1"/>
    <xf numFmtId="44" fontId="0" fillId="19" borderId="0" xfId="1" applyFont="1" applyFill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5" fillId="26" borderId="0" xfId="0" applyFont="1" applyFill="1"/>
    <xf numFmtId="1" fontId="5" fillId="26" borderId="0" xfId="0" applyNumberFormat="1" applyFont="1" applyFill="1"/>
    <xf numFmtId="16" fontId="5" fillId="26" borderId="0" xfId="0" applyNumberFormat="1" applyFont="1" applyFill="1"/>
    <xf numFmtId="44" fontId="5" fillId="26" borderId="0" xfId="1" applyFont="1" applyFill="1"/>
    <xf numFmtId="0" fontId="9" fillId="26" borderId="0" xfId="0" applyFont="1" applyFill="1"/>
    <xf numFmtId="0" fontId="4" fillId="26" borderId="0" xfId="0" applyFont="1" applyFill="1"/>
    <xf numFmtId="0" fontId="0" fillId="26" borderId="0" xfId="0" quotePrefix="1" applyFill="1" applyAlignment="1">
      <alignment horizontal="center"/>
    </xf>
    <xf numFmtId="44" fontId="0" fillId="4" borderId="0" xfId="1" applyFont="1" applyFill="1"/>
  </cellXfs>
  <cellStyles count="3">
    <cellStyle name="Currency" xfId="1" builtinId="4"/>
    <cellStyle name="Normal" xfId="0" builtinId="0"/>
    <cellStyle name="Normal 3" xfId="2" xr:uid="{3786E851-E057-4865-9310-98FACC6D9ED6}"/>
  </cellStyles>
  <dxfs count="70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102</xdr:row>
      <xdr:rowOff>77894</xdr:rowOff>
    </xdr:from>
    <xdr:ext cx="48767" cy="64007"/>
    <xdr:pic>
      <xdr:nvPicPr>
        <xdr:cNvPr id="2" name="image322.png">
          <a:extLst>
            <a:ext uri="{FF2B5EF4-FFF2-40B4-BE49-F238E27FC236}">
              <a16:creationId xmlns:a16="http://schemas.microsoft.com/office/drawing/2014/main" id="{059697D3-A3F6-47AC-8996-AB717D21D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0020" y="21244560"/>
          <a:ext cx="48767" cy="6400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menainc-my.sharepoint.com/personal/n_quijano_ethnixgroup_com/Documents/Suministros/Lineas%20Moviles/Registro%20Lineas%20moviles%20-%20Ethnix%20Group%2017%20diciembre.xlsx" TargetMode="External"/><Relationship Id="rId1" Type="http://schemas.openxmlformats.org/officeDocument/2006/relationships/externalLinkPath" Target="https://limenainc-my.sharepoint.com/personal/n_quijano_ethnixgroup_com/Documents/Suministros/Lineas%20Moviles/Registro%20Lineas%20moviles%20-%20Ethnix%20Group%2017%20dic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INICIAL"/>
      <sheetName val="Base INICIAL OFICIAL"/>
      <sheetName val="Base INICIAL OFICIAL (2)"/>
      <sheetName val="Migracion feb25 Ver to ATT"/>
      <sheetName val="Migracion feb25 Ver to ATT  (3)"/>
      <sheetName val="Migracion feb25 Ver to ATT (2)"/>
      <sheetName val="Sheet5"/>
      <sheetName val="Base de facturas"/>
      <sheetName val="Asignacion de Numeros "/>
      <sheetName val="Dispositivos"/>
      <sheetName val="Sheet4"/>
      <sheetName val="Inventario Edwin"/>
      <sheetName val="Sheet1"/>
      <sheetName val="Sheet3"/>
      <sheetName val="Base INICIAL (3)"/>
      <sheetName val="ATT"/>
      <sheetName val="Ver"/>
      <sheetName val="Sheet2"/>
      <sheetName val="Dispositivos (3)"/>
      <sheetName val="Dispositivos (2)"/>
      <sheetName val="ETFee Ver a ATT Samsung"/>
    </sheetNames>
    <sheetDataSet>
      <sheetData sheetId="0"/>
      <sheetData sheetId="1"/>
      <sheetData sheetId="2"/>
      <sheetData sheetId="3">
        <row r="1">
          <cell r="B1" t="str">
            <v>linea movil</v>
          </cell>
          <cell r="C1" t="str">
            <v>Nombre y apellido</v>
          </cell>
          <cell r="D1" t="str">
            <v>ESTATUS</v>
          </cell>
          <cell r="E1" t="str">
            <v>Migrada?</v>
          </cell>
          <cell r="F1" t="str">
            <v xml:space="preserve">Se tiene en nuestro poder </v>
          </cell>
          <cell r="G1" t="str">
            <v>Equipment type</v>
          </cell>
        </row>
        <row r="2">
          <cell r="B2" t="str">
            <v>205-529-6296</v>
          </cell>
          <cell r="C2" t="str">
            <v>ROSMARY SILVA</v>
          </cell>
          <cell r="D2" t="str">
            <v>ACTIVO</v>
          </cell>
          <cell r="E2" t="str">
            <v xml:space="preserve">Primera </v>
          </cell>
          <cell r="F2" t="str">
            <v>Si</v>
          </cell>
          <cell r="G2" t="str">
            <v>Iphone</v>
          </cell>
        </row>
        <row r="3">
          <cell r="B3" t="str">
            <v>205-767-8090</v>
          </cell>
          <cell r="C3" t="str">
            <v>JESUS GUERRERO</v>
          </cell>
          <cell r="D3" t="str">
            <v>ACTIVO</v>
          </cell>
          <cell r="E3" t="str">
            <v xml:space="preserve">Primera </v>
          </cell>
          <cell r="F3" t="str">
            <v>Si</v>
          </cell>
          <cell r="G3" t="str">
            <v>Iphone</v>
          </cell>
        </row>
        <row r="4">
          <cell r="B4" t="str">
            <v>314-580-3315</v>
          </cell>
          <cell r="C4" t="str">
            <v>VICTOR CAICEDO</v>
          </cell>
          <cell r="D4" t="str">
            <v>ACTIVO</v>
          </cell>
          <cell r="E4" t="str">
            <v xml:space="preserve">Primera </v>
          </cell>
          <cell r="F4" t="str">
            <v>Si</v>
          </cell>
          <cell r="G4" t="str">
            <v>Iphone</v>
          </cell>
        </row>
        <row r="5">
          <cell r="B5" t="str">
            <v>317-500-7156</v>
          </cell>
          <cell r="C5" t="str">
            <v>NAYELY SORIANO</v>
          </cell>
          <cell r="D5" t="str">
            <v>ACTIVO</v>
          </cell>
          <cell r="E5" t="str">
            <v xml:space="preserve">Primera </v>
          </cell>
          <cell r="F5" t="str">
            <v>Si</v>
          </cell>
          <cell r="G5" t="str">
            <v>Iphone</v>
          </cell>
        </row>
        <row r="6">
          <cell r="B6" t="str">
            <v>423-321-4014</v>
          </cell>
          <cell r="C6" t="str">
            <v>JUAN CARLOS CORADO</v>
          </cell>
          <cell r="D6" t="str">
            <v>ACTIVO</v>
          </cell>
          <cell r="E6" t="str">
            <v xml:space="preserve">Primera </v>
          </cell>
          <cell r="F6" t="str">
            <v>Si</v>
          </cell>
          <cell r="G6" t="str">
            <v>Iphone</v>
          </cell>
        </row>
        <row r="7">
          <cell r="B7" t="str">
            <v>501-773-3763</v>
          </cell>
          <cell r="C7" t="str">
            <v>ARTURO VILLAVICENCIO</v>
          </cell>
          <cell r="D7" t="str">
            <v>ACTIVO</v>
          </cell>
          <cell r="E7" t="str">
            <v xml:space="preserve">Primera </v>
          </cell>
          <cell r="F7" t="str">
            <v>Si</v>
          </cell>
          <cell r="G7" t="str">
            <v>Iphone</v>
          </cell>
        </row>
        <row r="8">
          <cell r="B8" t="str">
            <v>502-341-1558</v>
          </cell>
          <cell r="C8" t="str">
            <v>DILVER GARCIA</v>
          </cell>
          <cell r="D8" t="str">
            <v>ACTIVO</v>
          </cell>
          <cell r="E8" t="str">
            <v xml:space="preserve">Primera </v>
          </cell>
          <cell r="F8" t="str">
            <v>Si</v>
          </cell>
          <cell r="G8" t="str">
            <v xml:space="preserve">Galaxy </v>
          </cell>
        </row>
        <row r="9">
          <cell r="B9" t="str">
            <v>502-558-5770</v>
          </cell>
          <cell r="C9" t="str">
            <v>JAVIER MOJICA</v>
          </cell>
          <cell r="D9" t="str">
            <v>ACTIVO</v>
          </cell>
          <cell r="E9" t="str">
            <v xml:space="preserve">Primera </v>
          </cell>
          <cell r="F9" t="str">
            <v>Si</v>
          </cell>
          <cell r="G9" t="str">
            <v xml:space="preserve">Galaxy </v>
          </cell>
        </row>
        <row r="10">
          <cell r="B10" t="str">
            <v>502-974-3915</v>
          </cell>
          <cell r="C10" t="str">
            <v>CLAUDIA ARMES</v>
          </cell>
          <cell r="D10" t="str">
            <v>ACTIVO</v>
          </cell>
          <cell r="E10" t="str">
            <v xml:space="preserve">Primera </v>
          </cell>
          <cell r="F10" t="str">
            <v>Si</v>
          </cell>
          <cell r="G10" t="str">
            <v>Iphone</v>
          </cell>
        </row>
        <row r="11">
          <cell r="B11" t="str">
            <v>513-675-0865</v>
          </cell>
          <cell r="C11" t="str">
            <v>IRIS CORDERO</v>
          </cell>
          <cell r="D11" t="str">
            <v>ACTIVO</v>
          </cell>
          <cell r="E11" t="str">
            <v xml:space="preserve">Primera </v>
          </cell>
          <cell r="F11" t="str">
            <v>Si</v>
          </cell>
          <cell r="G11" t="str">
            <v>Iphone</v>
          </cell>
        </row>
        <row r="12">
          <cell r="B12" t="str">
            <v>601-910-8492</v>
          </cell>
          <cell r="C12" t="str">
            <v>ROSMARY LACRUZ</v>
          </cell>
          <cell r="D12" t="str">
            <v>ACTIVO</v>
          </cell>
          <cell r="E12" t="str">
            <v xml:space="preserve">Primera </v>
          </cell>
          <cell r="F12" t="str">
            <v>Si</v>
          </cell>
          <cell r="G12" t="str">
            <v>Iphone</v>
          </cell>
        </row>
        <row r="13">
          <cell r="B13" t="str">
            <v>615-207-2464</v>
          </cell>
          <cell r="C13" t="str">
            <v>OSMAN CABRERA</v>
          </cell>
          <cell r="D13" t="str">
            <v>ACTIVO</v>
          </cell>
          <cell r="E13" t="str">
            <v xml:space="preserve">Primera </v>
          </cell>
          <cell r="F13" t="str">
            <v>Si</v>
          </cell>
          <cell r="G13" t="str">
            <v>Iphone</v>
          </cell>
        </row>
        <row r="14">
          <cell r="B14" t="str">
            <v>615-299-3640</v>
          </cell>
          <cell r="C14" t="str">
            <v>SIMON CASTELLANO</v>
          </cell>
          <cell r="D14" t="str">
            <v>ACTIVO</v>
          </cell>
          <cell r="E14" t="str">
            <v>Segunda</v>
          </cell>
          <cell r="F14" t="str">
            <v>Si</v>
          </cell>
          <cell r="G14" t="str">
            <v xml:space="preserve">Galaxy </v>
          </cell>
        </row>
        <row r="15">
          <cell r="B15" t="str">
            <v>615-310-9970</v>
          </cell>
          <cell r="C15" t="str">
            <v>ALBERT CARDOZO</v>
          </cell>
          <cell r="D15" t="str">
            <v>ACTIVO</v>
          </cell>
          <cell r="E15" t="str">
            <v>Segunda</v>
          </cell>
          <cell r="F15" t="str">
            <v>Si</v>
          </cell>
          <cell r="G15" t="str">
            <v>Ipad</v>
          </cell>
        </row>
        <row r="16">
          <cell r="B16" t="str">
            <v>615-390-4624</v>
          </cell>
          <cell r="C16" t="str">
            <v>HENRY ESQUIVEL</v>
          </cell>
          <cell r="D16" t="str">
            <v>ACTIVO</v>
          </cell>
          <cell r="E16" t="str">
            <v xml:space="preserve">Primera </v>
          </cell>
          <cell r="F16" t="str">
            <v>Si</v>
          </cell>
          <cell r="G16" t="str">
            <v>Iphone</v>
          </cell>
        </row>
        <row r="17">
          <cell r="B17" t="str">
            <v>615-456-2536</v>
          </cell>
          <cell r="C17" t="str">
            <v>DANNY CABANZO</v>
          </cell>
          <cell r="D17" t="str">
            <v>ACTIVO</v>
          </cell>
          <cell r="E17" t="str">
            <v xml:space="preserve">Primera </v>
          </cell>
          <cell r="F17" t="str">
            <v>Si</v>
          </cell>
          <cell r="G17" t="str">
            <v>Iphone</v>
          </cell>
        </row>
        <row r="18">
          <cell r="B18" t="str">
            <v>615-626-2116</v>
          </cell>
          <cell r="C18" t="str">
            <v>DILVER GARCIA</v>
          </cell>
          <cell r="D18" t="str">
            <v>ACTIVO</v>
          </cell>
          <cell r="E18" t="str">
            <v xml:space="preserve">Primera </v>
          </cell>
          <cell r="F18" t="str">
            <v>Si</v>
          </cell>
          <cell r="G18" t="str">
            <v>Iphone</v>
          </cell>
        </row>
        <row r="19">
          <cell r="B19" t="str">
            <v>615-626-2756</v>
          </cell>
          <cell r="C19" t="str">
            <v>LIZET NAJERA</v>
          </cell>
          <cell r="D19" t="str">
            <v>ACTIVO</v>
          </cell>
          <cell r="E19" t="str">
            <v xml:space="preserve">Primera </v>
          </cell>
          <cell r="F19" t="str">
            <v>Si</v>
          </cell>
          <cell r="G19" t="str">
            <v>Iphone</v>
          </cell>
        </row>
        <row r="20">
          <cell r="B20" t="str">
            <v>615-626-3208</v>
          </cell>
          <cell r="C20" t="str">
            <v>ALEJANDRA LOPEZ</v>
          </cell>
          <cell r="D20" t="str">
            <v>ACTIVO</v>
          </cell>
          <cell r="E20" t="str">
            <v xml:space="preserve">Primera </v>
          </cell>
          <cell r="F20" t="str">
            <v>Si</v>
          </cell>
          <cell r="G20" t="str">
            <v>Iphone</v>
          </cell>
        </row>
        <row r="21">
          <cell r="B21" t="str">
            <v>615-626-3219</v>
          </cell>
          <cell r="C21" t="str">
            <v>ZULLYMAR TOVAR</v>
          </cell>
          <cell r="D21" t="str">
            <v>ACTIVO</v>
          </cell>
          <cell r="E21" t="str">
            <v xml:space="preserve">Primera </v>
          </cell>
          <cell r="F21" t="str">
            <v>Si</v>
          </cell>
          <cell r="G21" t="str">
            <v>Iphone</v>
          </cell>
        </row>
        <row r="22">
          <cell r="B22" t="str">
            <v>615-795-8193</v>
          </cell>
          <cell r="C22" t="str">
            <v>ANDRES FUENMAYOR</v>
          </cell>
          <cell r="D22" t="str">
            <v>ACTIVO</v>
          </cell>
          <cell r="E22" t="str">
            <v>Segunda</v>
          </cell>
          <cell r="F22" t="str">
            <v>Si</v>
          </cell>
          <cell r="G22" t="str">
            <v xml:space="preserve">Galaxy </v>
          </cell>
        </row>
        <row r="23">
          <cell r="B23" t="str">
            <v>615-795-8195</v>
          </cell>
          <cell r="C23" t="str">
            <v>MERVIN FERERR</v>
          </cell>
          <cell r="D23" t="str">
            <v>ACTIVO</v>
          </cell>
          <cell r="E23" t="str">
            <v>Segunda</v>
          </cell>
          <cell r="F23" t="str">
            <v>Si</v>
          </cell>
          <cell r="G23" t="str">
            <v xml:space="preserve">Galaxy </v>
          </cell>
        </row>
        <row r="24">
          <cell r="B24" t="str">
            <v>615-804-0516</v>
          </cell>
          <cell r="C24" t="str">
            <v>YULIN REYES</v>
          </cell>
          <cell r="D24" t="str">
            <v>ACTIVO</v>
          </cell>
          <cell r="E24" t="str">
            <v xml:space="preserve">Primera </v>
          </cell>
          <cell r="F24" t="str">
            <v>Si</v>
          </cell>
          <cell r="G24" t="str">
            <v>Iphone</v>
          </cell>
        </row>
        <row r="25">
          <cell r="B25" t="str">
            <v>615-830-4944</v>
          </cell>
          <cell r="C25" t="str">
            <v>YULIER PEREZ</v>
          </cell>
          <cell r="D25" t="str">
            <v>ACTIVO</v>
          </cell>
          <cell r="E25" t="str">
            <v>Segunda</v>
          </cell>
          <cell r="F25" t="str">
            <v>Si</v>
          </cell>
          <cell r="G25" t="str">
            <v xml:space="preserve">Galaxy </v>
          </cell>
        </row>
        <row r="26">
          <cell r="B26" t="str">
            <v>615-840-0789</v>
          </cell>
          <cell r="C26" t="str">
            <v>NAYRE PEREZ</v>
          </cell>
          <cell r="D26" t="str">
            <v>ACTIVO</v>
          </cell>
          <cell r="E26" t="str">
            <v xml:space="preserve">Primera </v>
          </cell>
          <cell r="F26" t="str">
            <v>Si</v>
          </cell>
          <cell r="G26" t="str">
            <v>Iphone</v>
          </cell>
        </row>
        <row r="27">
          <cell r="B27" t="str">
            <v>615-854-5649</v>
          </cell>
          <cell r="C27" t="str">
            <v>MARCELA ROA</v>
          </cell>
          <cell r="D27" t="str">
            <v>ACTIVO</v>
          </cell>
          <cell r="E27" t="str">
            <v xml:space="preserve">Primera </v>
          </cell>
          <cell r="F27" t="str">
            <v>Si</v>
          </cell>
          <cell r="G27" t="str">
            <v>Iphone</v>
          </cell>
        </row>
        <row r="28">
          <cell r="B28" t="str">
            <v>615-854-5797</v>
          </cell>
          <cell r="C28" t="str">
            <v>CAROLINA TORREALBA</v>
          </cell>
          <cell r="D28" t="str">
            <v>ACTIVO</v>
          </cell>
          <cell r="E28" t="str">
            <v xml:space="preserve">Primera </v>
          </cell>
          <cell r="F28" t="str">
            <v>Si</v>
          </cell>
          <cell r="G28" t="str">
            <v>Iphone</v>
          </cell>
        </row>
        <row r="29">
          <cell r="B29" t="str">
            <v>615-862-1976</v>
          </cell>
          <cell r="C29" t="str">
            <v>JORGE TENGREDI</v>
          </cell>
          <cell r="D29" t="str">
            <v>ACTIVO</v>
          </cell>
          <cell r="E29" t="str">
            <v>Segunda</v>
          </cell>
          <cell r="F29" t="str">
            <v>Si</v>
          </cell>
          <cell r="G29" t="str">
            <v xml:space="preserve">Galaxy </v>
          </cell>
        </row>
        <row r="30">
          <cell r="B30" t="str">
            <v>615-862-9112</v>
          </cell>
          <cell r="C30" t="str">
            <v>JOEL VELAZCO</v>
          </cell>
          <cell r="D30" t="str">
            <v>ACTIVO</v>
          </cell>
          <cell r="E30" t="str">
            <v xml:space="preserve">Primera </v>
          </cell>
          <cell r="F30" t="str">
            <v>Si</v>
          </cell>
          <cell r="G30" t="str">
            <v xml:space="preserve">Galaxy </v>
          </cell>
        </row>
        <row r="31">
          <cell r="B31" t="str">
            <v>615-878-0405</v>
          </cell>
          <cell r="C31" t="str">
            <v>LUIS PARADA</v>
          </cell>
          <cell r="D31" t="str">
            <v>ACTIVO</v>
          </cell>
          <cell r="E31" t="str">
            <v xml:space="preserve">Primera </v>
          </cell>
          <cell r="F31" t="str">
            <v>Si</v>
          </cell>
          <cell r="G31" t="str">
            <v>Iphone</v>
          </cell>
        </row>
        <row r="32">
          <cell r="B32" t="str">
            <v>615-879-8762</v>
          </cell>
          <cell r="C32" t="str">
            <v>ANDRES FUENMAYOR</v>
          </cell>
          <cell r="D32" t="str">
            <v>ACTIVO</v>
          </cell>
          <cell r="E32" t="str">
            <v>Segunda</v>
          </cell>
          <cell r="F32" t="str">
            <v>Si</v>
          </cell>
          <cell r="G32" t="str">
            <v xml:space="preserve">Galaxy </v>
          </cell>
        </row>
        <row r="33">
          <cell r="B33" t="str">
            <v>615-881-4574</v>
          </cell>
          <cell r="C33" t="str">
            <v>PEDRO BLAIN</v>
          </cell>
          <cell r="D33" t="str">
            <v>ACTIVO</v>
          </cell>
          <cell r="E33" t="str">
            <v>Segunda</v>
          </cell>
          <cell r="F33" t="str">
            <v>Si</v>
          </cell>
          <cell r="G33" t="str">
            <v xml:space="preserve">Galaxy </v>
          </cell>
        </row>
        <row r="34">
          <cell r="B34" t="str">
            <v>615-906-5129</v>
          </cell>
          <cell r="C34" t="str">
            <v>RUDY BAHENA</v>
          </cell>
          <cell r="D34" t="str">
            <v>ACTIVO</v>
          </cell>
          <cell r="E34" t="str">
            <v xml:space="preserve">Primera </v>
          </cell>
          <cell r="F34" t="str">
            <v>Si</v>
          </cell>
          <cell r="G34" t="str">
            <v xml:space="preserve">Galaxy </v>
          </cell>
        </row>
        <row r="35">
          <cell r="B35" t="str">
            <v>615-939-8241</v>
          </cell>
          <cell r="C35" t="str">
            <v>ALBERT CARDOZO</v>
          </cell>
          <cell r="D35" t="str">
            <v>ACTIVO</v>
          </cell>
          <cell r="E35" t="str">
            <v xml:space="preserve">Primera </v>
          </cell>
          <cell r="F35" t="str">
            <v>SI</v>
          </cell>
          <cell r="G35" t="str">
            <v>Iphone</v>
          </cell>
        </row>
        <row r="36">
          <cell r="B36" t="str">
            <v>615-948-1111</v>
          </cell>
          <cell r="C36" t="str">
            <v>JORDAN WATSON KY</v>
          </cell>
          <cell r="D36" t="str">
            <v>ACTIVO</v>
          </cell>
          <cell r="E36" t="str">
            <v xml:space="preserve">Primera </v>
          </cell>
          <cell r="F36" t="str">
            <v>SI</v>
          </cell>
          <cell r="G36" t="str">
            <v xml:space="preserve">Galaxy </v>
          </cell>
        </row>
        <row r="37">
          <cell r="B37" t="str">
            <v>615-961-5944</v>
          </cell>
          <cell r="C37" t="str">
            <v>JOSE BURGOS</v>
          </cell>
          <cell r="D37" t="str">
            <v>ACTIVO</v>
          </cell>
          <cell r="E37" t="str">
            <v xml:space="preserve">Primera </v>
          </cell>
          <cell r="F37" t="str">
            <v>SI</v>
          </cell>
          <cell r="G37" t="str">
            <v>Iphone</v>
          </cell>
        </row>
        <row r="38">
          <cell r="B38" t="str">
            <v>629-239-0999</v>
          </cell>
          <cell r="C38" t="str">
            <v>JOSE LUCIO</v>
          </cell>
          <cell r="D38" t="str">
            <v>ACTIVO</v>
          </cell>
          <cell r="E38" t="str">
            <v xml:space="preserve">Primera </v>
          </cell>
          <cell r="F38" t="str">
            <v>SI</v>
          </cell>
          <cell r="G38" t="str">
            <v>Iphone</v>
          </cell>
        </row>
        <row r="39">
          <cell r="B39" t="str">
            <v>629-256-9168</v>
          </cell>
          <cell r="C39" t="str">
            <v>YNGEL GUTIERREZ</v>
          </cell>
          <cell r="D39" t="str">
            <v>ACTIVO</v>
          </cell>
          <cell r="E39" t="str">
            <v xml:space="preserve">Primera </v>
          </cell>
          <cell r="F39" t="str">
            <v>SI</v>
          </cell>
          <cell r="G39" t="str">
            <v>Iphone</v>
          </cell>
        </row>
        <row r="40">
          <cell r="B40" t="str">
            <v>859-321-3539</v>
          </cell>
          <cell r="C40" t="str">
            <v>ESMERALDA WILSON</v>
          </cell>
          <cell r="D40" t="str">
            <v>ACTIVO</v>
          </cell>
          <cell r="E40" t="str">
            <v xml:space="preserve">Primera </v>
          </cell>
          <cell r="F40" t="str">
            <v>SI</v>
          </cell>
          <cell r="G40" t="str">
            <v>Iphone</v>
          </cell>
        </row>
        <row r="41">
          <cell r="B41" t="str">
            <v>865-396-3526</v>
          </cell>
          <cell r="C41" t="str">
            <v>CARLOS VELIZ</v>
          </cell>
          <cell r="D41" t="str">
            <v>ACTIVO</v>
          </cell>
          <cell r="E41" t="str">
            <v xml:space="preserve">Primera </v>
          </cell>
          <cell r="F41" t="str">
            <v>SI</v>
          </cell>
          <cell r="G41" t="str">
            <v>Iphone</v>
          </cell>
        </row>
        <row r="42">
          <cell r="B42" t="str">
            <v>901-275-5428</v>
          </cell>
          <cell r="C42" t="str">
            <v>VERUUZKO RODRIGUEZ</v>
          </cell>
          <cell r="D42" t="str">
            <v>ACTIVO</v>
          </cell>
          <cell r="E42" t="str">
            <v xml:space="preserve">Primera </v>
          </cell>
          <cell r="F42" t="str">
            <v>SI</v>
          </cell>
          <cell r="G42" t="str">
            <v>Iphone</v>
          </cell>
        </row>
        <row r="43">
          <cell r="B43" t="str">
            <v>901-427-2093</v>
          </cell>
          <cell r="C43" t="str">
            <v>Andres Suarez</v>
          </cell>
          <cell r="D43" t="str">
            <v>ACTIVO</v>
          </cell>
          <cell r="E43" t="str">
            <v xml:space="preserve">Primera </v>
          </cell>
          <cell r="F43" t="str">
            <v>Si</v>
          </cell>
          <cell r="G43" t="str">
            <v xml:space="preserve">Galaxy </v>
          </cell>
        </row>
        <row r="44">
          <cell r="B44" t="str">
            <v>901-500-6953</v>
          </cell>
          <cell r="C44" t="str">
            <v>CESAR RODRIGUEZ KY</v>
          </cell>
          <cell r="D44" t="str">
            <v>ACTIVO</v>
          </cell>
          <cell r="E44" t="str">
            <v>Segunda</v>
          </cell>
          <cell r="F44" t="str">
            <v>SI</v>
          </cell>
          <cell r="G44" t="str">
            <v xml:space="preserve">Galaxy </v>
          </cell>
        </row>
        <row r="45">
          <cell r="B45" t="str">
            <v>901-585-9984</v>
          </cell>
          <cell r="C45" t="str">
            <v>LUIS DE LA TORRE</v>
          </cell>
          <cell r="D45" t="str">
            <v>ACTIVO</v>
          </cell>
          <cell r="E45" t="str">
            <v xml:space="preserve">Primera </v>
          </cell>
          <cell r="F45" t="str">
            <v>SI</v>
          </cell>
          <cell r="G45" t="str">
            <v xml:space="preserve">Galaxy </v>
          </cell>
        </row>
        <row r="46">
          <cell r="B46" t="str">
            <v>901-607-5291</v>
          </cell>
          <cell r="C46" t="str">
            <v>BENY CORPUS</v>
          </cell>
          <cell r="D46" t="str">
            <v>ACTIVO</v>
          </cell>
          <cell r="E46" t="str">
            <v>Segunda</v>
          </cell>
          <cell r="F46" t="str">
            <v>SI</v>
          </cell>
          <cell r="G46" t="str">
            <v xml:space="preserve">Galaxy </v>
          </cell>
        </row>
        <row r="47">
          <cell r="B47" t="str">
            <v>901-713-7796</v>
          </cell>
          <cell r="C47" t="str">
            <v>ANA CAROLINA FERRERIA</v>
          </cell>
          <cell r="D47" t="str">
            <v>ACTIVO</v>
          </cell>
          <cell r="E47" t="str">
            <v xml:space="preserve">Primera </v>
          </cell>
          <cell r="F47" t="str">
            <v>Si</v>
          </cell>
          <cell r="G47" t="str">
            <v>Iphone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Chavez" refreshedDate="45779.289813425923" createdVersion="8" refreshedVersion="8" minRefreshableVersion="3" recordCount="263" xr:uid="{5D0C535E-69EE-4872-88EE-7A12885971E3}">
  <cacheSource type="worksheet">
    <worksheetSource ref="A1:R264" sheet="FACTURAS"/>
  </cacheSource>
  <cacheFields count="18">
    <cacheField name="Proveedor" numFmtId="0">
      <sharedItems/>
    </cacheField>
    <cacheField name="Year" numFmtId="0">
      <sharedItems containsSemiMixedTypes="0" containsString="0" containsNumber="1" containsInteger="1" minValue="25" maxValue="25"/>
    </cacheField>
    <cacheField name="Month" numFmtId="0">
      <sharedItems containsSemiMixedTypes="0" containsString="0" containsNumber="1" containsInteger="1" minValue="3" maxValue="4" count="2">
        <n v="3"/>
        <n v="4"/>
      </sharedItems>
    </cacheField>
    <cacheField name="Number" numFmtId="0">
      <sharedItems/>
    </cacheField>
    <cacheField name="USER" numFmtId="0">
      <sharedItems/>
    </cacheField>
    <cacheField name="asa" numFmtId="0">
      <sharedItems containsMixedTypes="1" containsNumber="1" containsInteger="1" minValue="13" maxValue="253"/>
    </cacheField>
    <cacheField name="Activity" numFmtId="0">
      <sharedItems containsBlank="1" containsMixedTypes="1" containsNumber="1" minValue="-35" maxValue="600.92999999999995"/>
    </cacheField>
    <cacheField name="Monthly charges" numFmtId="0">
      <sharedItems containsBlank="1" containsMixedTypes="1" containsNumber="1" minValue="6.34" maxValue="60"/>
    </cacheField>
    <cacheField name="Equipment" numFmtId="0">
      <sharedItems containsMixedTypes="1" containsNumber="1" minValue="-0.99" maxValue="38.89"/>
    </cacheField>
    <cacheField name="Company" numFmtId="8">
      <sharedItems containsMixedTypes="1" containsNumber="1" minValue="0.67" maxValue="14.22"/>
    </cacheField>
    <cacheField name="Government" numFmtId="0">
      <sharedItems containsMixedTypes="1" containsNumber="1" minValue="0.56999999999999995" maxValue="7.68"/>
    </cacheField>
    <cacheField name="total" numFmtId="0">
      <sharedItems containsBlank="1" containsMixedTypes="1" containsNumber="1" minValue="3.75" maxValue="704.95"/>
    </cacheField>
    <cacheField name="TOTAL REVISADO" numFmtId="0">
      <sharedItems containsSemiMixedTypes="0" containsString="0" containsNumber="1" minValue="-45.67" maxValue="704.95"/>
    </cacheField>
    <cacheField name="DISPOSITIVO " numFmtId="0">
      <sharedItems containsMixedTypes="1" containsNumber="1" containsInteger="1" minValue="0" maxValue="0"/>
    </cacheField>
    <cacheField name="USER REAL " numFmtId="0">
      <sharedItems containsMixedTypes="1" containsNumber="1" containsInteger="1" minValue="0" maxValue="0"/>
    </cacheField>
    <cacheField name="CECO" numFmtId="0">
      <sharedItems/>
    </cacheField>
    <cacheField name="MIGRADO" numFmtId="0">
      <sharedItems/>
    </cacheField>
    <cacheField name="VALOR AJUSTADO" numFmtId="44">
      <sharedItems containsSemiMixedTypes="0" containsString="0" containsNumber="1" minValue="-45.67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Chavez" refreshedDate="45887.349593634259" createdVersion="8" refreshedVersion="8" minRefreshableVersion="3" recordCount="391" xr:uid="{12F44DE2-B067-43A0-9989-B80D4415BD95}">
  <cacheSource type="worksheet">
    <worksheetSource ref="A1:R392" sheet="FACTURAS"/>
  </cacheSource>
  <cacheFields count="18">
    <cacheField name="Proveedor" numFmtId="0">
      <sharedItems count="1">
        <s v="AT&amp;T"/>
      </sharedItems>
    </cacheField>
    <cacheField name="Year" numFmtId="0">
      <sharedItems containsSemiMixedTypes="0" containsString="0" containsNumber="1" containsInteger="1" minValue="25" maxValue="25"/>
    </cacheField>
    <cacheField name="Month" numFmtId="0">
      <sharedItems containsSemiMixedTypes="0" containsString="0" containsNumber="1" containsInteger="1" minValue="3" maxValue="5" count="3">
        <n v="3"/>
        <n v="4"/>
        <n v="5"/>
      </sharedItems>
    </cacheField>
    <cacheField name="Number" numFmtId="0">
      <sharedItems/>
    </cacheField>
    <cacheField name="USER" numFmtId="0">
      <sharedItems containsMixedTypes="1" containsNumber="1" containsInteger="1" minValue="0" maxValue="0"/>
    </cacheField>
    <cacheField name="asa" numFmtId="0">
      <sharedItems containsMixedTypes="1" containsNumber="1" containsInteger="1" minValue="5" maxValue="257"/>
    </cacheField>
    <cacheField name="Activity" numFmtId="0">
      <sharedItems containsBlank="1" containsMixedTypes="1" containsNumber="1" minValue="-35" maxValue="600.92999999999995"/>
    </cacheField>
    <cacheField name="Monthly charges" numFmtId="0">
      <sharedItems containsBlank="1" containsMixedTypes="1" containsNumber="1" minValue="6.34" maxValue="60"/>
    </cacheField>
    <cacheField name="Equipment" numFmtId="0">
      <sharedItems containsMixedTypes="1" containsNumber="1" minValue="-0.99" maxValue="38.89"/>
    </cacheField>
    <cacheField name="Company" numFmtId="0">
      <sharedItems containsMixedTypes="1" containsNumber="1" minValue="0.67" maxValue="114.6"/>
    </cacheField>
    <cacheField name="Government" numFmtId="0">
      <sharedItems containsMixedTypes="1" containsNumber="1" minValue="0.56999999999999995" maxValue="25.42"/>
    </cacheField>
    <cacheField name="total" numFmtId="0">
      <sharedItems containsBlank="1" containsMixedTypes="1" containsNumber="1" minValue="3.75" maxValue="704.95"/>
    </cacheField>
    <cacheField name="TOTAL REVISADO" numFmtId="0">
      <sharedItems containsSemiMixedTypes="0" containsString="0" containsNumber="1" minValue="-45.67" maxValue="704.95"/>
    </cacheField>
    <cacheField name="DISPOSITIVO " numFmtId="0">
      <sharedItems containsMixedTypes="1" containsNumber="1" containsInteger="1" minValue="0" maxValue="0"/>
    </cacheField>
    <cacheField name="USER REAL " numFmtId="0">
      <sharedItems containsMixedTypes="1" containsNumber="1" containsInteger="1" minValue="0" maxValue="0"/>
    </cacheField>
    <cacheField name="CECO" numFmtId="0">
      <sharedItems/>
    </cacheField>
    <cacheField name="MIGRADO" numFmtId="0">
      <sharedItems/>
    </cacheField>
    <cacheField name="VALOR AJUSTADO" numFmtId="44">
      <sharedItems containsSemiMixedTypes="0" containsString="0" containsNumber="1" minValue="-45.67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s v="AT&amp;T"/>
    <n v="25"/>
    <x v="0"/>
    <s v="629-345-1381"/>
    <s v="IPHONE 14"/>
    <n v="13"/>
    <n v="-4.17"/>
    <n v="45"/>
    <n v="5.99"/>
    <n v="4.3600000000000003"/>
    <n v="2.08"/>
    <n v="53.26"/>
    <n v="53.26"/>
    <s v="Iphone"/>
    <s v="RIVERO, LUIS MARIANO"/>
    <s v="SALES CENTRAL"/>
    <s v="NO"/>
    <n v="25"/>
  </r>
  <r>
    <s v="AT&amp;T"/>
    <n v="25"/>
    <x v="0"/>
    <s v="629-345-1642"/>
    <s v="IPHONE 14"/>
    <n v="15"/>
    <n v="-4.17"/>
    <n v="45"/>
    <n v="5.99"/>
    <n v="4.3600000000000003"/>
    <n v="2.08"/>
    <n v="53.26"/>
    <n v="53.26"/>
    <s v="Iphone"/>
    <s v="CALDERON, PILAR ESTRADA"/>
    <s v="MERCHANDISER SOUTH"/>
    <s v="NO"/>
    <n v="25"/>
  </r>
  <r>
    <s v="AT&amp;T"/>
    <n v="25"/>
    <x v="0"/>
    <s v="629-345-1645"/>
    <s v="RADDY GARCIA SA"/>
    <n v="17"/>
    <n v="-4.17"/>
    <n v="45"/>
    <n v="5.99"/>
    <n v="4.3600000000000003"/>
    <n v="2.08"/>
    <n v="53.26"/>
    <n v="53.26"/>
    <s v="Iphone"/>
    <s v="GARCIA, RADDY"/>
    <s v="SALES NORTH"/>
    <s v="NO"/>
    <n v="25"/>
  </r>
  <r>
    <s v="AT&amp;T"/>
    <n v="25"/>
    <x v="0"/>
    <s v="678-477-4654"/>
    <s v="IPAD SALES"/>
    <n v="19"/>
    <n v="-5"/>
    <n v="20"/>
    <s v="-"/>
    <n v="3.75"/>
    <s v="-"/>
    <n v="18.75"/>
    <n v="18.75"/>
    <s v="no aplica"/>
    <s v="IPAD SALES"/>
    <s v="ATLANTA"/>
    <s v="NO"/>
    <n v="25"/>
  </r>
  <r>
    <s v="AT&amp;T"/>
    <n v="25"/>
    <x v="0"/>
    <s v="678-925-1523"/>
    <s v="IPAD SALES"/>
    <n v="21"/>
    <n v="-5"/>
    <n v="20"/>
    <s v="-"/>
    <n v="3.75"/>
    <s v="-"/>
    <n v="18.75"/>
    <n v="18.75"/>
    <s v="no aplica"/>
    <s v="IPAD SALES"/>
    <s v="ATLANTA"/>
    <s v="NO"/>
    <n v="25"/>
  </r>
  <r>
    <s v="AT&amp;T"/>
    <n v="25"/>
    <x v="0"/>
    <s v="678-925-6858"/>
    <s v="IPAD SALES"/>
    <n v="23"/>
    <n v="-5"/>
    <n v="20"/>
    <s v="-"/>
    <n v="3.75"/>
    <s v="-"/>
    <n v="18.75"/>
    <n v="18.75"/>
    <s v="no aplica"/>
    <s v="IPAD SALES"/>
    <s v="ATLANTA"/>
    <s v="NO"/>
    <n v="25"/>
  </r>
  <r>
    <s v="AT&amp;T"/>
    <n v="25"/>
    <x v="0"/>
    <s v="901-464-6471"/>
    <s v="HELEN MADRIGAL"/>
    <n v="25"/>
    <s v="-"/>
    <n v="50"/>
    <n v="-0.79"/>
    <n v="4.4000000000000004"/>
    <n v="2.12"/>
    <n v="55.73"/>
    <n v="55.73"/>
    <s v="Iphone"/>
    <s v="MADRIGAL GARCIA, HELEN C"/>
    <s v="SALES NORTH"/>
    <s v="NO"/>
    <n v="25"/>
  </r>
  <r>
    <s v="AT&amp;T"/>
    <n v="25"/>
    <x v="0"/>
    <s v="615-474-6646"/>
    <s v="JOHAN MADRIZ"/>
    <n v="27"/>
    <s v="-"/>
    <n v="20"/>
    <s v="-"/>
    <n v="3.75"/>
    <s v="-"/>
    <n v="23.75"/>
    <n v="88.75"/>
    <s v="CANCELADO"/>
    <s v="CANCELADO"/>
    <e v="#N/A"/>
    <s v="NO"/>
    <n v="25"/>
  </r>
  <r>
    <s v="AT&amp;T"/>
    <n v="25"/>
    <x v="0"/>
    <s v="629-257-4960"/>
    <s v="BACKUP INTERNET 1"/>
    <n v="29"/>
    <s v="-"/>
    <n v="20"/>
    <s v="-"/>
    <n v="3.75"/>
    <s v="-"/>
    <n v="23.75"/>
    <n v="63.75"/>
    <s v="Samsung"/>
    <e v="#N/A"/>
    <e v="#N/A"/>
    <s v="NO"/>
    <n v="25"/>
  </r>
  <r>
    <s v="AT&amp;T"/>
    <n v="25"/>
    <x v="0"/>
    <s v="629-258-0227"/>
    <s v="BACKUP INTERNET 2"/>
    <n v="31"/>
    <s v="-"/>
    <n v="20"/>
    <s v="-"/>
    <n v="3.75"/>
    <s v="-"/>
    <n v="23.75"/>
    <n v="63.75"/>
    <s v="Samsung"/>
    <e v="#N/A"/>
    <e v="#N/A"/>
    <s v="NO"/>
    <n v="25"/>
  </r>
  <r>
    <s v="AT&amp;T"/>
    <n v="25"/>
    <x v="0"/>
    <s v="615-945-4365"/>
    <s v="IVAN TELLO IPAD"/>
    <n v="33"/>
    <s v="-"/>
    <s v="-"/>
    <s v="-"/>
    <n v="3.75"/>
    <s v="-"/>
    <n v="3.75"/>
    <n v="23.75"/>
    <s v="Ipad"/>
    <s v="TELLO, IVAN E"/>
    <s v="SALES CENTRAL"/>
    <s v="NO"/>
    <n v="25"/>
  </r>
  <r>
    <s v="AT&amp;T"/>
    <n v="25"/>
    <x v="0"/>
    <s v="615-944-5380"/>
    <s v="LEONARDO PALENCIA I..."/>
    <n v="35"/>
    <s v="-"/>
    <s v="-"/>
    <s v="-"/>
    <n v="3.75"/>
    <s v="-"/>
    <n v="3.75"/>
    <n v="23.75"/>
    <s v="Ipad"/>
    <s v="PALENCIA RODRIGUEZ, LEONARDO R"/>
    <s v="SALES CENTRAL"/>
    <s v="NO"/>
    <n v="25"/>
  </r>
  <r>
    <s v="AT&amp;T"/>
    <n v="25"/>
    <x v="0"/>
    <s v="615-585-1725"/>
    <s v="SALES DSD IPAD"/>
    <n v="37"/>
    <s v="-"/>
    <s v="-"/>
    <s v="-"/>
    <n v="3.75"/>
    <s v="-"/>
    <n v="3.75"/>
    <n v="23.75"/>
    <s v="CANCELADO"/>
    <s v="CANCELADO"/>
    <e v="#N/A"/>
    <s v="NO"/>
    <n v="25"/>
  </r>
  <r>
    <s v="AT&amp;T"/>
    <n v="25"/>
    <x v="0"/>
    <s v="256-631-4188"/>
    <s v="DANIEL FLORES IPAD SA"/>
    <n v="39"/>
    <n v="4.12"/>
    <s v="-"/>
    <s v="-"/>
    <n v="3.75"/>
    <s v="-"/>
    <n v="7.87"/>
    <n v="27.87"/>
    <s v="Ipad"/>
    <s v="FLORES, JOSE DANIEL"/>
    <s v="SALES SOUTH"/>
    <s v="NO"/>
    <n v="25"/>
  </r>
  <r>
    <s v="AT&amp;T"/>
    <n v="25"/>
    <x v="0"/>
    <s v="629-345-1182"/>
    <s v="ROSMARY LA CRUZ IPA..."/>
    <n v="41"/>
    <s v="-"/>
    <s v="-"/>
    <s v="-"/>
    <n v="3.75"/>
    <s v="-"/>
    <n v="3.75"/>
    <n v="23.75"/>
    <s v="Ipad"/>
    <s v="LACRUZ, ROSMARY"/>
    <s v="SALES WEST"/>
    <s v="NO"/>
    <n v="25"/>
  </r>
  <r>
    <s v="AT&amp;T"/>
    <n v="25"/>
    <x v="0"/>
    <s v="901-467-5902"/>
    <s v="HELEN MADRIGAL IPAD SA"/>
    <n v="43"/>
    <s v="-"/>
    <s v="-"/>
    <s v="-"/>
    <n v="3.75"/>
    <s v="-"/>
    <n v="3.75"/>
    <n v="23.75"/>
    <s v="Ipad"/>
    <s v="MADRIGAL GARCIA, HELEN C"/>
    <s v="SALES NORTH"/>
    <s v="NO"/>
    <n v="25"/>
  </r>
  <r>
    <s v="AT&amp;T"/>
    <n v="25"/>
    <x v="0"/>
    <s v="629-345-1728"/>
    <s v="IPAD DISTRIBUIDORA ..."/>
    <n v="45"/>
    <s v="-"/>
    <s v="-"/>
    <n v="12.78"/>
    <n v="3.75"/>
    <s v="-"/>
    <n v="16.53"/>
    <n v="36.53"/>
    <s v="Ipad"/>
    <s v="GARCIA, RADDY"/>
    <s v="SALES NORTH"/>
    <s v="NO"/>
    <n v="25"/>
  </r>
  <r>
    <s v="AT&amp;T"/>
    <n v="25"/>
    <x v="0"/>
    <s v="629-345-1705"/>
    <s v="IPAD DISTRIBUIDORA ..."/>
    <n v="47"/>
    <s v="-"/>
    <s v="-"/>
    <n v="12.78"/>
    <n v="3.75"/>
    <s v="-"/>
    <n v="16.53"/>
    <n v="36.53"/>
    <s v="Ipad"/>
    <s v="CALDERON, PILAR ESTRADA"/>
    <s v="MERCHANDISER SOUTH"/>
    <s v="NO"/>
    <n v="25"/>
  </r>
  <r>
    <s v="AT&amp;T"/>
    <n v="25"/>
    <x v="0"/>
    <s v="629-345-1574"/>
    <s v="IPAD DISTRIBUIDORA ..."/>
    <n v="49"/>
    <s v="-"/>
    <s v="-"/>
    <n v="12.78"/>
    <n v="3.75"/>
    <s v="-"/>
    <n v="16.53"/>
    <n v="36.53"/>
    <s v="Ipad"/>
    <s v="RIVERO, LUIS MARIANO"/>
    <s v="SALES CENTRAL"/>
    <s v="NO"/>
    <n v="25"/>
  </r>
  <r>
    <s v="AT&amp;T"/>
    <n v="25"/>
    <x v="0"/>
    <s v="629-729-3294"/>
    <s v="IPAD EDILIA SHINE"/>
    <n v="51"/>
    <s v="-"/>
    <s v="-"/>
    <s v="-"/>
    <n v="3.75"/>
    <s v="-"/>
    <n v="3.75"/>
    <n v="23.75"/>
    <s v="Ipad"/>
    <s v="SHINE, EDILIA D"/>
    <s v="SALES NORTH"/>
    <s v="NO"/>
    <n v="25"/>
  </r>
  <r>
    <s v="AT&amp;T"/>
    <n v="25"/>
    <x v="0"/>
    <s v="629-729-3287"/>
    <s v="IPAD RAFAEL CHANCHA..."/>
    <n v="53"/>
    <s v="-"/>
    <s v="-"/>
    <s v="-"/>
    <n v="3.75"/>
    <s v="-"/>
    <n v="3.75"/>
    <n v="23.75"/>
    <s v="Ipad"/>
    <s v="CHANCHAMIRE, RAFAEL A"/>
    <s v="SALES WEST"/>
    <s v="NO"/>
    <n v="25"/>
  </r>
  <r>
    <s v="AT&amp;T"/>
    <n v="25"/>
    <x v="0"/>
    <s v="205-527-8021"/>
    <s v="JOSE MAITE SA"/>
    <n v="55"/>
    <n v="4.1100000000000003"/>
    <n v="50"/>
    <n v="5"/>
    <n v="4.87"/>
    <n v="2.9"/>
    <n v="66.88"/>
    <n v="66.88"/>
    <s v="Iphone"/>
    <s v="MAITA, JOSE"/>
    <s v="SALES SOUTH"/>
    <s v="NO"/>
    <n v="25"/>
  </r>
  <r>
    <s v="AT&amp;T"/>
    <n v="25"/>
    <x v="0"/>
    <s v="205-529-6296"/>
    <s v="ROSMARY SILVA"/>
    <n v="57"/>
    <n v="-30.88"/>
    <n v="50"/>
    <s v="-"/>
    <n v="4.2300000000000004"/>
    <n v="1.92"/>
    <n v="25.27"/>
    <n v="25.27"/>
    <s v="Iphone"/>
    <s v="SILVA R, ROSMARY JOSE"/>
    <s v="SALES SOUTH"/>
    <s v="205-529-6296"/>
    <n v="15"/>
  </r>
  <r>
    <s v="AT&amp;T"/>
    <n v="25"/>
    <x v="0"/>
    <s v="205-767-8090"/>
    <s v="JESUS GUERRERO"/>
    <n v="59"/>
    <n v="-35"/>
    <n v="50"/>
    <s v="-"/>
    <n v="4.2300000000000004"/>
    <n v="1.92"/>
    <n v="21.15"/>
    <n v="21.15"/>
    <s v="Iphone"/>
    <s v="GUERRERO, JESUS"/>
    <s v="SALES SOUTH"/>
    <s v="205-767-8090"/>
    <n v="15"/>
  </r>
  <r>
    <s v="AT&amp;T"/>
    <n v="25"/>
    <x v="0"/>
    <s v="256-724-1530"/>
    <s v="DANIEL FLORES SA"/>
    <n v="61"/>
    <n v="4.12"/>
    <n v="50"/>
    <n v="10.99"/>
    <n v="4.87"/>
    <n v="2.9"/>
    <n v="72.88"/>
    <n v="72.88"/>
    <s v="Iphone"/>
    <s v="FLORES, JOSE DANIEL"/>
    <s v="SALES SOUTH"/>
    <s v="NO"/>
    <n v="25"/>
  </r>
  <r>
    <s v="AT&amp;T"/>
    <n v="25"/>
    <x v="0"/>
    <s v="314-309-4058"/>
    <s v="YESENIA LOPEZ"/>
    <n v="63"/>
    <s v="-"/>
    <n v="50"/>
    <n v="5"/>
    <n v="4.87"/>
    <n v="2.57"/>
    <n v="62.44"/>
    <n v="62.44"/>
    <s v="Iphone"/>
    <s v="LOPEZ, YESENIA"/>
    <s v="SALES WEST"/>
    <s v="NO"/>
    <n v="25"/>
  </r>
  <r>
    <s v="AT&amp;T"/>
    <n v="25"/>
    <x v="0"/>
    <s v="314-580-3315"/>
    <s v="VICTOR CAICEDO"/>
    <n v="65"/>
    <n v="-30.88"/>
    <n v="50"/>
    <s v="-"/>
    <n v="4.2300000000000004"/>
    <n v="1.92"/>
    <n v="25.27"/>
    <n v="25.27"/>
    <s v="Iphone"/>
    <s v="CAICEDO, VICTOR M"/>
    <s v="SALES WEST"/>
    <s v="314-580-3315"/>
    <n v="15"/>
  </r>
  <r>
    <s v="AT&amp;T"/>
    <n v="25"/>
    <x v="0"/>
    <s v="317-500-7156"/>
    <s v="NAYELY SORIANO"/>
    <n v="67"/>
    <n v="-30.88"/>
    <n v="50"/>
    <s v="-"/>
    <n v="4.2300000000000004"/>
    <n v="1.92"/>
    <n v="25.27"/>
    <n v="25.27"/>
    <s v="Iphone"/>
    <s v="SORIANO, NAYELY"/>
    <s v="SALES NORTH"/>
    <s v="317-500-7156"/>
    <n v="15"/>
  </r>
  <r>
    <s v="AT&amp;T"/>
    <n v="25"/>
    <x v="0"/>
    <s v="423-321-4014"/>
    <s v="JUAN CARLOS CORADO"/>
    <n v="69"/>
    <n v="-35"/>
    <n v="50"/>
    <s v="-"/>
    <n v="4.2300000000000004"/>
    <n v="1.92"/>
    <n v="21.15"/>
    <n v="21.15"/>
    <s v="Iphone"/>
    <s v="CORADO, JUAN CARLOS"/>
    <s v="SALES SOUTH"/>
    <s v="423-321-4014"/>
    <n v="15"/>
  </r>
  <r>
    <s v="AT&amp;T"/>
    <n v="25"/>
    <x v="0"/>
    <s v="463-209-9259"/>
    <s v="EDILIA SSHINE SA"/>
    <n v="71"/>
    <n v="4.12"/>
    <n v="50"/>
    <s v="-"/>
    <n v="4.87"/>
    <n v="2.57"/>
    <n v="61.56"/>
    <n v="61.56"/>
    <s v="Iphone"/>
    <s v="SHINE, EDILIA D"/>
    <s v="SALES NORTH"/>
    <s v="NO"/>
    <n v="25"/>
  </r>
  <r>
    <s v="AT&amp;T"/>
    <n v="25"/>
    <x v="0"/>
    <s v="463-867-7910"/>
    <s v="NEW INDY USER DISTR..."/>
    <n v="73"/>
    <n v="4.12"/>
    <n v="50"/>
    <n v="5.99"/>
    <n v="5.0199999999999996"/>
    <n v="1.78"/>
    <n v="66.91"/>
    <n v="66.91"/>
    <s v="CANCELADO"/>
    <s v="CANCELADO"/>
    <e v="#N/A"/>
    <s v="NO"/>
    <n v="25"/>
  </r>
  <r>
    <s v="AT&amp;T"/>
    <n v="25"/>
    <x v="0"/>
    <s v="470-330-9757"/>
    <s v="KAREN ORELLANA"/>
    <n v="75"/>
    <s v="-"/>
    <n v="50"/>
    <s v="-"/>
    <n v="4.87"/>
    <n v="2.57"/>
    <n v="57.44"/>
    <n v="57.44"/>
    <s v="CANCELADO"/>
    <s v="CANCELADO"/>
    <e v="#N/A"/>
    <s v="NO"/>
    <n v="25"/>
  </r>
  <r>
    <s v="AT&amp;T"/>
    <n v="25"/>
    <x v="0"/>
    <s v="470-609-0538"/>
    <s v="DANIEL GARCIA"/>
    <n v="77"/>
    <n v="4.12"/>
    <n v="50"/>
    <s v="-"/>
    <n v="4.87"/>
    <n v="2.39"/>
    <n v="61.38"/>
    <n v="61.38"/>
    <s v="no aplica"/>
    <s v="DANIEL GARCIA"/>
    <s v="ATLANTA"/>
    <s v="NO"/>
    <n v="25"/>
  </r>
  <r>
    <s v="AT&amp;T"/>
    <n v="25"/>
    <x v="0"/>
    <s v="470-609-0570"/>
    <s v="OSCAR BARRAGAN"/>
    <n v="79"/>
    <n v="4.12"/>
    <n v="50"/>
    <s v="-"/>
    <n v="4.87"/>
    <n v="2.39"/>
    <n v="61.38"/>
    <n v="61.38"/>
    <s v="no aplica"/>
    <s v="OSCAR BARRAGAN"/>
    <s v="ATLANTA"/>
    <s v="NO"/>
    <n v="25"/>
  </r>
  <r>
    <s v="AT&amp;T"/>
    <n v="25"/>
    <x v="0"/>
    <s v="470-737-8596"/>
    <s v="ISRAEL LOPEZ"/>
    <n v="81"/>
    <s v="-"/>
    <n v="50"/>
    <s v="-"/>
    <n v="4.87"/>
    <n v="2.57"/>
    <n v="57.44"/>
    <n v="57.44"/>
    <s v="CANCELADO"/>
    <s v="CANCELADO"/>
    <e v="#N/A"/>
    <s v="NO"/>
    <n v="25"/>
  </r>
  <r>
    <s v="AT&amp;T"/>
    <n v="25"/>
    <x v="0"/>
    <s v="501-773-3738"/>
    <s v="SALES ARKANSAS"/>
    <n v="83"/>
    <n v="4.1100000000000003"/>
    <n v="30"/>
    <s v="-"/>
    <n v="3.75"/>
    <s v="-"/>
    <n v="37.86"/>
    <n v="37.86"/>
    <s v="Ipad"/>
    <s v="VILLAVICENCIO, ARTURO J"/>
    <s v="SALES WEST"/>
    <s v="NO"/>
    <n v="25"/>
  </r>
  <r>
    <s v="AT&amp;T"/>
    <n v="25"/>
    <x v="0"/>
    <s v="501-773-3763"/>
    <s v="ARTURO VILLAVICENCIO"/>
    <n v="85"/>
    <n v="-30.89"/>
    <n v="50"/>
    <s v="-"/>
    <n v="4.2300000000000004"/>
    <n v="1.92"/>
    <n v="25.26"/>
    <n v="25.26"/>
    <s v="Iphone"/>
    <s v="VILLAVICENCIO, ARTURO J"/>
    <s v="SALES WEST"/>
    <s v="501-773-3763"/>
    <n v="15"/>
  </r>
  <r>
    <s v="AT&amp;T"/>
    <n v="25"/>
    <x v="0"/>
    <s v="502-341-1558"/>
    <s v="DILVER GARCIA"/>
    <n v="87"/>
    <n v="-16.670000000000002"/>
    <n v="50"/>
    <s v="-"/>
    <n v="4.5599999999999996"/>
    <n v="0.97"/>
    <n v="38.86"/>
    <n v="38.86"/>
    <s v="Galaxy "/>
    <s v="SUAREZ LEZCANO, FERNANDO M"/>
    <s v="SALES RITEFILL DSD CENTRAL"/>
    <s v="502-341-1558"/>
    <n v="15"/>
  </r>
  <r>
    <s v="AT&amp;T"/>
    <n v="25"/>
    <x v="0"/>
    <s v="502-558-5770"/>
    <s v="JAVIER MOJICA LG"/>
    <n v="89"/>
    <n v="12.84"/>
    <n v="25"/>
    <s v="-"/>
    <n v="5.53"/>
    <n v="3.23"/>
    <n v="46.6"/>
    <n v="46.6"/>
    <s v="Galaxy "/>
    <s v="MOJICA, FRANCISCO JAVIER"/>
    <s v="LOGISTICS CENTRAL"/>
    <s v="502-558-5770"/>
    <n v="15"/>
  </r>
  <r>
    <s v="AT&amp;T"/>
    <n v="25"/>
    <x v="0"/>
    <s v="502-974-3915"/>
    <s v="CLAUDIA ARMES"/>
    <n v="91"/>
    <n v="-35"/>
    <n v="50"/>
    <s v="-"/>
    <n v="4.2300000000000004"/>
    <n v="1.92"/>
    <n v="21.15"/>
    <n v="21.15"/>
    <s v="Iphone"/>
    <s v="ARMES, CLAUDIA"/>
    <s v="SALES NORTH"/>
    <s v="502-974-3915"/>
    <n v="15"/>
  </r>
  <r>
    <s v="AT&amp;T"/>
    <n v="25"/>
    <x v="0"/>
    <s v="513-675-0865"/>
    <s v="IRIS CORDERO"/>
    <n v="93"/>
    <n v="-30.89"/>
    <n v="50"/>
    <s v="-"/>
    <n v="4.2300000000000004"/>
    <n v="1.92"/>
    <n v="25.26"/>
    <n v="25.26"/>
    <s v="Iphone"/>
    <s v="CORDERO, IRIS"/>
    <s v="SALES NORTH"/>
    <s v="513-675-0865"/>
    <n v="15"/>
  </r>
  <r>
    <s v="AT&amp;T"/>
    <n v="25"/>
    <x v="0"/>
    <s v="513-720-1147"/>
    <s v="CINCINNATI LIMENA"/>
    <n v="95"/>
    <n v="4.1100000000000003"/>
    <n v="50"/>
    <n v="5"/>
    <n v="5"/>
    <n v="1.29"/>
    <n v="65.400000000000006"/>
    <n v="65.400000000000006"/>
    <s v="Iphone"/>
    <s v="ALVAREZ PALOMARES M, PAULA MAYREN"/>
    <s v="MERCHANDISER NORTH"/>
    <s v="NO"/>
    <n v="25"/>
  </r>
  <r>
    <s v="AT&amp;T"/>
    <n v="25"/>
    <x v="0"/>
    <s v="601-910-8492"/>
    <s v="ROSMARY LACRUZ"/>
    <n v="97"/>
    <n v="-35"/>
    <n v="50"/>
    <s v="-"/>
    <n v="4.2300000000000004"/>
    <n v="1.92"/>
    <n v="21.15"/>
    <n v="21.15"/>
    <s v="Iphone"/>
    <s v="LACRUZ, ROSMARY"/>
    <s v="SALES WEST"/>
    <s v="601-910-8492"/>
    <n v="15"/>
  </r>
  <r>
    <s v="AT&amp;T"/>
    <n v="25"/>
    <x v="0"/>
    <s v="615-207-2464"/>
    <s v="OSMAN CABRERA"/>
    <n v="99"/>
    <n v="-30.89"/>
    <n v="50"/>
    <s v="-"/>
    <n v="4.2300000000000004"/>
    <n v="1.92"/>
    <n v="25.26"/>
    <n v="25.26"/>
    <s v="Iphone"/>
    <s v="CABRERA, OSMAN A"/>
    <s v="SALES CENTRAL"/>
    <s v="615-207-2464"/>
    <n v="15"/>
  </r>
  <r>
    <s v="AT&amp;T"/>
    <n v="25"/>
    <x v="0"/>
    <s v="615-299-3640"/>
    <s v="SIMON CASTELLANO"/>
    <n v="101"/>
    <n v="12.84"/>
    <n v="25"/>
    <s v="-"/>
    <n v="4.71"/>
    <n v="5.49"/>
    <n v="48.04"/>
    <n v="48.04"/>
    <s v="Galaxy"/>
    <s v="DE LOS SANTOS, LUIS"/>
    <s v="LOGISTIC SOUTH"/>
    <s v="615-299-3640"/>
    <n v="15"/>
  </r>
  <r>
    <s v="AT&amp;T"/>
    <n v="25"/>
    <x v="0"/>
    <s v="615-299-3641"/>
    <s v="EDGAR FERNANDEZ LQ"/>
    <n v="103"/>
    <n v="4.1100000000000003"/>
    <n v="50"/>
    <n v="-0.99"/>
    <n v="4.87"/>
    <n v="2.57"/>
    <n v="60.56"/>
    <n v="60.56"/>
    <s v="Motorola"/>
    <s v="FERNANDEZ, EDGAR"/>
    <s v="LOGISTICS CENTRAL"/>
    <s v="NO"/>
    <n v="25"/>
  </r>
  <r>
    <s v="AT&amp;T"/>
    <n v="25"/>
    <x v="0"/>
    <s v="615-305-1999"/>
    <s v="IPAD SALES"/>
    <n v="105"/>
    <s v="-"/>
    <n v="30"/>
    <s v="-"/>
    <n v="3.75"/>
    <s v="-"/>
    <n v="33.75"/>
    <n v="33.75"/>
    <s v="Ipad"/>
    <e v="#N/A"/>
    <e v="#N/A"/>
    <s v="NO"/>
    <n v="25"/>
  </r>
  <r>
    <s v="AT&amp;T"/>
    <n v="25"/>
    <x v="0"/>
    <s v="615-310-9970"/>
    <s v="ALBERT CARDOZO"/>
    <n v="107"/>
    <s v="-"/>
    <n v="15"/>
    <s v="-"/>
    <n v="3.75"/>
    <s v="-"/>
    <n v="18.75"/>
    <n v="18.75"/>
    <s v="Ipad"/>
    <s v="CARDOZO, ALBERT YVAN"/>
    <s v="SALES RITEFILL DSD CENTRAL"/>
    <s v="615-310-9970"/>
    <n v="15"/>
  </r>
  <r>
    <s v="AT&amp;T"/>
    <n v="25"/>
    <x v="0"/>
    <s v="615-316-8577"/>
    <s v="HR LIMENA"/>
    <n v="109"/>
    <s v="-"/>
    <n v="50"/>
    <n v="25"/>
    <n v="4.87"/>
    <n v="2.57"/>
    <n v="82.44"/>
    <n v="82.44"/>
    <s v="Iphone"/>
    <s v="DUQUE IYENGAR, DANIELA"/>
    <s v="HR"/>
    <s v="NO"/>
    <n v="25"/>
  </r>
  <r>
    <s v="AT&amp;T"/>
    <n v="25"/>
    <x v="0"/>
    <s v="615-337-4949"/>
    <s v="DAVID CONDE WH"/>
    <n v="111"/>
    <s v="-"/>
    <n v="50"/>
    <s v="-"/>
    <n v="4.87"/>
    <n v="2.57"/>
    <n v="57.44"/>
    <n v="57.44"/>
    <s v="Galaxy"/>
    <s v="CONDE TORRES, DAVID A"/>
    <s v="WAREHOUSE CENTRAL"/>
    <s v="NO"/>
    <n v="25"/>
  </r>
  <r>
    <s v="AT&amp;T"/>
    <n v="25"/>
    <x v="0"/>
    <s v="615-390-4624"/>
    <s v="HENRY ESQUIVEL"/>
    <n v="113"/>
    <n v="-35"/>
    <n v="50"/>
    <s v="-"/>
    <n v="4.2300000000000004"/>
    <n v="1.92"/>
    <n v="21.15"/>
    <n v="21.15"/>
    <s v="Iphone"/>
    <s v="ESQUIVEL, HENRY"/>
    <s v="WAREHOUSE CENTRAL"/>
    <s v="615-390-4624"/>
    <n v="15"/>
  </r>
  <r>
    <s v="AT&amp;T"/>
    <n v="25"/>
    <x v="0"/>
    <s v="615-403-8760"/>
    <s v="MERARI VILLATORO"/>
    <n v="115"/>
    <n v="600.92999999999995"/>
    <n v="50"/>
    <n v="38.89"/>
    <n v="9.86"/>
    <n v="5.27"/>
    <n v="704.95"/>
    <n v="704.95"/>
    <s v="Iphone"/>
    <s v="VILLATORO, MERARI"/>
    <s v="VP"/>
    <s v="NO"/>
    <n v="25"/>
  </r>
  <r>
    <s v="AT&amp;T"/>
    <n v="25"/>
    <x v="0"/>
    <s v="615-417-0015"/>
    <s v="JESSICA BARAJAS LA"/>
    <n v="117"/>
    <s v="-"/>
    <n v="50"/>
    <s v="-"/>
    <n v="4.87"/>
    <n v="2.57"/>
    <n v="57.44"/>
    <n v="57.44"/>
    <s v="Iphone"/>
    <s v="BARAJAS, JESSICA"/>
    <s v="SALES NORTH"/>
    <s v="NO"/>
    <n v="25"/>
  </r>
  <r>
    <s v="AT&amp;T"/>
    <n v="25"/>
    <x v="0"/>
    <s v="615-417-9594"/>
    <s v="NICOLAS FINANZAS"/>
    <n v="119"/>
    <s v="-"/>
    <n v="50"/>
    <s v="-"/>
    <n v="4.87"/>
    <n v="2.57"/>
    <n v="57.44"/>
    <n v="57.44"/>
    <s v="Iphone"/>
    <s v="QUIJANO, NICOLAS"/>
    <s v="CFO"/>
    <s v="NO"/>
    <n v="25"/>
  </r>
  <r>
    <s v="AT&amp;T"/>
    <n v="25"/>
    <x v="0"/>
    <s v="615-426-4622"/>
    <s v="ZEDRICK PATINO"/>
    <n v="121"/>
    <s v="-"/>
    <n v="50"/>
    <s v="-"/>
    <n v="4.87"/>
    <n v="2.57"/>
    <n v="57.44"/>
    <n v="57.44"/>
    <s v="Iphone"/>
    <s v="PATINO, ZEDERICK"/>
    <s v="MERCHANDISER CENTRAL"/>
    <s v="NO"/>
    <n v="25"/>
  </r>
  <r>
    <s v="AT&amp;T"/>
    <n v="25"/>
    <x v="0"/>
    <s v="615-456-2536"/>
    <s v="DANNY CABANZO"/>
    <n v="123"/>
    <n v="-30.88"/>
    <n v="50"/>
    <s v="-"/>
    <n v="4.2300000000000004"/>
    <n v="1.92"/>
    <n v="25.27"/>
    <n v="25.27"/>
    <s v="Iphone"/>
    <s v="CABANZO, DANNY"/>
    <s v="SALES CENTRAL"/>
    <s v="615-456-2536"/>
    <n v="15"/>
  </r>
  <r>
    <s v="AT&amp;T"/>
    <n v="25"/>
    <x v="0"/>
    <s v="615-476-5992"/>
    <s v="MONICA AYALA"/>
    <n v="125"/>
    <s v="-"/>
    <n v="50"/>
    <s v="-"/>
    <n v="4.87"/>
    <n v="2.57"/>
    <n v="57.44"/>
    <n v="57.44"/>
    <s v="CANCELADO"/>
    <s v="CANCELADO"/>
    <e v="#N/A"/>
    <s v="NO"/>
    <n v="25"/>
  </r>
  <r>
    <s v="AT&amp;T"/>
    <n v="25"/>
    <x v="0"/>
    <s v="615-477-6490"/>
    <s v="MERARI TWOLINE"/>
    <n v="127"/>
    <s v="-"/>
    <n v="50"/>
    <n v="30.56"/>
    <n v="4.87"/>
    <n v="2.57"/>
    <n v="88"/>
    <n v="88"/>
    <s v="Iphone"/>
    <s v="VILLATORO, MERARI"/>
    <s v="VP"/>
    <s v="NO"/>
    <n v="25"/>
  </r>
  <r>
    <s v="AT&amp;T"/>
    <n v="25"/>
    <x v="0"/>
    <s v="615-496-8278"/>
    <s v="JOHAN MADRIZ"/>
    <n v="129"/>
    <n v="307.5"/>
    <n v="50"/>
    <n v="38.89"/>
    <n v="14.22"/>
    <n v="6.17"/>
    <n v="416.78"/>
    <n v="416.78"/>
    <s v="Iphone"/>
    <s v="MADRIZ, JOHAN"/>
    <s v="President"/>
    <s v="NO"/>
    <n v="25"/>
  </r>
  <r>
    <s v="AT&amp;T"/>
    <n v="25"/>
    <x v="0"/>
    <s v="615-586-0725"/>
    <s v="YESENIA LOPEZ SA"/>
    <n v="131"/>
    <s v="-"/>
    <n v="30"/>
    <s v="-"/>
    <n v="3.75"/>
    <s v="-"/>
    <n v="33.75"/>
    <n v="33.75"/>
    <s v="Ipad"/>
    <s v="LOPEZ, YESENIA"/>
    <s v="SALES WEST"/>
    <s v="NO"/>
    <n v="25"/>
  </r>
  <r>
    <s v="AT&amp;T"/>
    <n v="25"/>
    <x v="0"/>
    <s v="615-586-4787"/>
    <s v="JOSE MAITA IPAD"/>
    <n v="133"/>
    <s v="-"/>
    <n v="30"/>
    <s v="-"/>
    <n v="3.75"/>
    <s v="-"/>
    <n v="33.75"/>
    <n v="33.75"/>
    <s v="Ipad"/>
    <s v="MAITA, JOSE"/>
    <s v="SALES SOUTH"/>
    <s v="NO"/>
    <n v="25"/>
  </r>
  <r>
    <s v="AT&amp;T"/>
    <n v="25"/>
    <x v="0"/>
    <s v="615-589-2741"/>
    <s v="ROSMARY SILVA IPAD"/>
    <n v="135"/>
    <s v="-"/>
    <n v="30"/>
    <s v="-"/>
    <n v="3.75"/>
    <s v="-"/>
    <n v="33.75"/>
    <n v="33.75"/>
    <s v="Ipad"/>
    <s v="SILVA R, ROSMARY JOSE"/>
    <s v="SALES SOUTH"/>
    <s v="NO"/>
    <n v="25"/>
  </r>
  <r>
    <s v="AT&amp;T"/>
    <n v="25"/>
    <x v="0"/>
    <s v="615-589-4199"/>
    <s v="ELIZABETH PELAEZ"/>
    <n v="137"/>
    <s v="-"/>
    <n v="50"/>
    <n v="10.99"/>
    <n v="4.87"/>
    <n v="2.57"/>
    <n v="68.430000000000007"/>
    <n v="68.430000000000007"/>
    <s v="Iphone"/>
    <s v="PELAEZ, ELIZABETH"/>
    <s v="SALES CENTRAL"/>
    <s v="NO"/>
    <n v="25"/>
  </r>
  <r>
    <s v="AT&amp;T"/>
    <n v="25"/>
    <x v="0"/>
    <s v="615-626-2116"/>
    <s v="DILVER GARCIA"/>
    <n v="139"/>
    <n v="-35"/>
    <n v="50"/>
    <s v="-"/>
    <n v="4.2300000000000004"/>
    <n v="1.92"/>
    <n v="21.15"/>
    <n v="21.15"/>
    <s v="Iphone"/>
    <s v="SUAREZ LEZCANO, FERNANDO M"/>
    <s v="SALES RITEFILL DSD CENTRAL"/>
    <s v="615-626-2116"/>
    <n v="15"/>
  </r>
  <r>
    <s v="AT&amp;T"/>
    <n v="25"/>
    <x v="0"/>
    <s v="615-626-2756"/>
    <s v="LIZET NAJERA"/>
    <n v="141"/>
    <n v="-35"/>
    <n v="50"/>
    <s v="-"/>
    <n v="4.2300000000000004"/>
    <n v="1.92"/>
    <n v="21.15"/>
    <n v="21.15"/>
    <s v="Iphone"/>
    <s v="NAJERA, LIZET"/>
    <s v="SALES NORTH"/>
    <s v="615-626-2756"/>
    <n v="15"/>
  </r>
  <r>
    <s v="AT&amp;T"/>
    <n v="25"/>
    <x v="0"/>
    <s v="615-626-3208"/>
    <s v="ALEJANDRA LOPEZ"/>
    <n v="143"/>
    <n v="-35"/>
    <n v="50"/>
    <s v="-"/>
    <n v="4.2300000000000004"/>
    <n v="1.92"/>
    <n v="21.15"/>
    <n v="21.15"/>
    <s v="Iphone"/>
    <s v="LOPEZ, ALEJANDRA C"/>
    <s v="SALES WEST"/>
    <s v="615-626-3208"/>
    <n v="15"/>
  </r>
  <r>
    <s v="AT&amp;T"/>
    <n v="25"/>
    <x v="0"/>
    <s v="615-626-3219"/>
    <s v="ZULLYMAR TOVAR"/>
    <n v="145"/>
    <n v="-35"/>
    <n v="50"/>
    <s v="-"/>
    <n v="4.2300000000000004"/>
    <n v="1.92"/>
    <n v="21.15"/>
    <n v="21.15"/>
    <n v="0"/>
    <s v="TOVAR, ZULLYMAR"/>
    <s v="SALES CENTRAL"/>
    <s v="615-626-3219"/>
    <n v="15"/>
  </r>
  <r>
    <s v="AT&amp;T"/>
    <n v="25"/>
    <x v="0"/>
    <s v="615-626-4243"/>
    <s v="JOSE HERRERA"/>
    <n v="147"/>
    <s v="-"/>
    <n v="50"/>
    <n v="23.61"/>
    <n v="4.87"/>
    <n v="2.57"/>
    <n v="81.05"/>
    <n v="81.05"/>
    <s v="Iphone"/>
    <s v="HERRERA MOLINA, JOSE CARLOS"/>
    <s v="CEO"/>
    <s v="NO"/>
    <n v="25"/>
  </r>
  <r>
    <s v="AT&amp;T"/>
    <n v="25"/>
    <x v="0"/>
    <s v="615-674-8479"/>
    <s v="JORGE PRADO"/>
    <n v="149"/>
    <s v="-"/>
    <n v="60"/>
    <n v="25"/>
    <n v="4.99"/>
    <n v="7.68"/>
    <n v="97.67"/>
    <n v="97.67"/>
    <s v="Iphone"/>
    <s v="PRADO, JORGE A"/>
    <s v="COO"/>
    <s v="NO"/>
    <n v="25"/>
  </r>
  <r>
    <s v="AT&amp;T"/>
    <n v="25"/>
    <x v="0"/>
    <s v="615-691-3166"/>
    <s v="WAREHOUSE TN NASHVILLE"/>
    <n v="151"/>
    <n v="-6.75"/>
    <n v="50"/>
    <s v="-"/>
    <n v="4.87"/>
    <n v="2.57"/>
    <n v="50.69"/>
    <n v="50.69"/>
    <s v="Iphone"/>
    <s v="QUIJANO, NICOLAS"/>
    <s v="CFO"/>
    <s v="NO"/>
    <n v="25"/>
  </r>
  <r>
    <s v="AT&amp;T"/>
    <n v="25"/>
    <x v="0"/>
    <s v="615-708-0397"/>
    <s v="JOHAN TWOLINE"/>
    <n v="153"/>
    <n v="-19.45"/>
    <n v="50"/>
    <n v="33.340000000000003"/>
    <n v="4.87"/>
    <n v="2.57"/>
    <n v="71.33"/>
    <n v="71.33"/>
    <s v="Iphone"/>
    <s v="MADRIZ, JOHAN"/>
    <s v="President"/>
    <s v="NO"/>
    <n v="25"/>
  </r>
  <r>
    <s v="AT&amp;T"/>
    <n v="25"/>
    <x v="0"/>
    <s v="615-730-3104"/>
    <s v="IVAN TELLO SA"/>
    <n v="155"/>
    <s v="-"/>
    <n v="50"/>
    <n v="5"/>
    <n v="4.87"/>
    <n v="2.57"/>
    <n v="62.44"/>
    <n v="62.44"/>
    <s v="Iphone"/>
    <s v="TELLO, IVAN E"/>
    <s v="SALES CENTRAL"/>
    <s v="NO"/>
    <n v="25"/>
  </r>
  <r>
    <s v="AT&amp;T"/>
    <n v="25"/>
    <x v="0"/>
    <s v="615-768-6114"/>
    <s v="IPAD BYOD"/>
    <n v="157"/>
    <n v="7"/>
    <n v="15"/>
    <s v="-"/>
    <n v="3.75"/>
    <s v="-"/>
    <n v="25.75"/>
    <n v="25.75"/>
    <s v="Ipad"/>
    <s v="SILVA, ELISA"/>
    <s v="SALES WEST"/>
    <s v="NO"/>
    <n v="25"/>
  </r>
  <r>
    <s v="AT&amp;T"/>
    <n v="25"/>
    <x v="0"/>
    <s v="615-795-8193"/>
    <s v="ANDRES FUENMAYOR"/>
    <n v="159"/>
    <n v="-16.670000000000002"/>
    <n v="50"/>
    <s v="-"/>
    <n v="4.2300000000000004"/>
    <n v="1.92"/>
    <n v="39.479999999999997"/>
    <n v="39.479999999999997"/>
    <s v="Galaxy "/>
    <s v="REMBERT, ANTORIUS DAVUN"/>
    <s v="LOGISTICS SOUTH"/>
    <s v="615-795-8193"/>
    <n v="15"/>
  </r>
  <r>
    <s v="AT&amp;T"/>
    <n v="25"/>
    <x v="0"/>
    <s v="615-795-8195"/>
    <s v="MERVIN FERERR"/>
    <n v="161"/>
    <n v="-16.670000000000002"/>
    <n v="50"/>
    <s v="-"/>
    <n v="4.2300000000000004"/>
    <n v="1.92"/>
    <n v="39.479999999999997"/>
    <n v="39.479999999999997"/>
    <s v="Galaxy "/>
    <s v="FERRER BRACHO, MERVIN J"/>
    <s v="LOGISTICS CENTRAL"/>
    <s v="615-795-8195"/>
    <n v="15"/>
  </r>
  <r>
    <s v="AT&amp;T"/>
    <n v="25"/>
    <x v="0"/>
    <s v="615-804-0516"/>
    <s v="YULIN REYES"/>
    <n v="163"/>
    <n v="-35"/>
    <n v="50"/>
    <s v="-"/>
    <n v="4.2300000000000004"/>
    <n v="1.92"/>
    <n v="21.15"/>
    <n v="21.15"/>
    <s v="Iphone"/>
    <s v="REYES, YULIN"/>
    <s v="SALES CENTRAL"/>
    <s v="615-804-0516"/>
    <n v="15"/>
  </r>
  <r>
    <s v="AT&amp;T"/>
    <n v="25"/>
    <x v="0"/>
    <s v="615-812-5934"/>
    <s v="ELISA SILVA"/>
    <n v="165"/>
    <s v="-"/>
    <n v="50"/>
    <s v="-"/>
    <n v="4.87"/>
    <n v="2.57"/>
    <n v="57.44"/>
    <n v="57.44"/>
    <s v="Iphone"/>
    <s v="QUEVEDO, NAIROVI Y"/>
    <s v="SALES WEST"/>
    <s v="NO"/>
    <n v="25"/>
  </r>
  <r>
    <s v="AT&amp;T"/>
    <n v="25"/>
    <x v="0"/>
    <s v="615-828-8926"/>
    <s v="LEONARDO PALENCIA SA"/>
    <n v="167"/>
    <s v="-"/>
    <n v="50"/>
    <n v="5"/>
    <n v="4.87"/>
    <n v="2.57"/>
    <n v="62.44"/>
    <n v="62.44"/>
    <s v="Iphone"/>
    <s v="PALENCIA RODRIGUEZ, LEONARDO R"/>
    <s v="SALES CENTRAL"/>
    <s v="NO"/>
    <n v="25"/>
  </r>
  <r>
    <s v="AT&amp;T"/>
    <n v="25"/>
    <x v="0"/>
    <s v="615-830-4944"/>
    <s v="YULIER PEREZ"/>
    <n v="169"/>
    <n v="-16.670000000000002"/>
    <n v="50"/>
    <s v="-"/>
    <n v="4.2300000000000004"/>
    <n v="1.92"/>
    <n v="39.479999999999997"/>
    <n v="39.479999999999997"/>
    <s v="Galaxy "/>
    <s v="PEREZ, YULIER"/>
    <s v="LOGISTICS CENTRAL"/>
    <s v="615-830-4944"/>
    <n v="15"/>
  </r>
  <r>
    <s v="AT&amp;T"/>
    <n v="25"/>
    <x v="0"/>
    <s v="615-830-6700"/>
    <s v="NICOLAS QUIJANO 2"/>
    <n v="171"/>
    <s v="-"/>
    <n v="50"/>
    <s v="-"/>
    <n v="4.87"/>
    <n v="2.57"/>
    <n v="57.44"/>
    <n v="57.44"/>
    <s v="Iphone"/>
    <s v="QUIJANO, NICOLAS"/>
    <s v="CFO"/>
    <s v="NO"/>
    <n v="25"/>
  </r>
  <r>
    <s v="AT&amp;T"/>
    <n v="25"/>
    <x v="0"/>
    <s v="615-840-0789"/>
    <s v="NAYRE PEREZ"/>
    <n v="173"/>
    <n v="-35"/>
    <n v="50"/>
    <s v="-"/>
    <n v="4.2300000000000004"/>
    <n v="1.92"/>
    <n v="21.15"/>
    <n v="21.15"/>
    <s v="Iphone"/>
    <s v="PEREZ HERNANDEZ, NAYRE"/>
    <s v="SALES CENTRAL"/>
    <s v="615-840-0789"/>
    <n v="15"/>
  </r>
  <r>
    <s v="AT&amp;T"/>
    <n v="25"/>
    <x v="0"/>
    <s v="615-854-5649"/>
    <s v="MARCELA ROA"/>
    <n v="175"/>
    <n v="-35"/>
    <n v="50"/>
    <s v="-"/>
    <n v="4.2300000000000004"/>
    <n v="1.92"/>
    <n v="21.15"/>
    <n v="21.15"/>
    <s v="Iphone"/>
    <s v="ROA, INGRID MARCELA"/>
    <s v="SALES SOUTH"/>
    <s v="615-854-5649"/>
    <n v="15"/>
  </r>
  <r>
    <s v="AT&amp;T"/>
    <n v="25"/>
    <x v="0"/>
    <s v="615-854-5797"/>
    <s v="CAROLINA TORREALBA"/>
    <n v="177"/>
    <n v="-35"/>
    <n v="50"/>
    <s v="-"/>
    <n v="4.2300000000000004"/>
    <n v="1.92"/>
    <n v="21.15"/>
    <n v="21.15"/>
    <s v="Iphone"/>
    <s v="TORREALBA TORRES, CAROLINA"/>
    <s v="SALES WEST"/>
    <s v="615-854-5797"/>
    <n v="15"/>
  </r>
  <r>
    <s v="AT&amp;T"/>
    <n v="25"/>
    <x v="0"/>
    <s v="615-862-1976"/>
    <s v="JORGE TENGREDI"/>
    <n v="179"/>
    <n v="-16.670000000000002"/>
    <n v="50"/>
    <s v="-"/>
    <n v="4.2300000000000004"/>
    <n v="1.92"/>
    <n v="39.479999999999997"/>
    <n v="39.479999999999997"/>
    <s v="Galaxy "/>
    <s v="TANGREDI, JORGE"/>
    <s v="LOGISTICS CENTRAL"/>
    <s v="615-862-1976"/>
    <n v="15"/>
  </r>
  <r>
    <s v="AT&amp;T"/>
    <n v="25"/>
    <x v="0"/>
    <s v="615-862-9402"/>
    <s v="RUDY BAHENA LG"/>
    <n v="181"/>
    <n v="-7.45"/>
    <n v="50"/>
    <s v="-"/>
    <n v="4.87"/>
    <n v="2.57"/>
    <n v="49.99"/>
    <n v="49.99"/>
    <s v="Galaxy"/>
    <s v="BAHENA, RUDY"/>
    <s v="LOGISTICS WEST"/>
    <s v="NO"/>
    <n v="25"/>
  </r>
  <r>
    <s v="AT&amp;T"/>
    <n v="25"/>
    <x v="0"/>
    <s v="615-878-0405"/>
    <s v="LUIS PARADA"/>
    <n v="183"/>
    <n v="-35"/>
    <n v="50"/>
    <s v="-"/>
    <n v="4.2300000000000004"/>
    <n v="1.92"/>
    <n v="21.15"/>
    <n v="21.15"/>
    <s v="Iphone"/>
    <e v="#N/A"/>
    <e v="#N/A"/>
    <s v="615-878-0405"/>
    <n v="15"/>
  </r>
  <r>
    <s v="AT&amp;T"/>
    <n v="25"/>
    <x v="0"/>
    <s v="615-879-8762"/>
    <s v="ANDRES FUENMAYOR"/>
    <n v="185"/>
    <n v="-16.670000000000002"/>
    <n v="50"/>
    <s v="-"/>
    <n v="4.2300000000000004"/>
    <n v="1.92"/>
    <n v="39.479999999999997"/>
    <n v="39.479999999999997"/>
    <s v="Galaxy "/>
    <s v="FUENMAYOR, ANDRES"/>
    <s v="LOGISTICS CENTRAL"/>
    <s v="615-879-8762"/>
    <n v="15"/>
  </r>
  <r>
    <s v="AT&amp;T"/>
    <n v="25"/>
    <x v="0"/>
    <s v="615-881-4574"/>
    <s v="LIESKA MEMPHIS"/>
    <n v="187"/>
    <s v="-"/>
    <n v="50"/>
    <s v="-"/>
    <n v="0.67"/>
    <n v="0.56999999999999995"/>
    <n v="51.24"/>
    <n v="51.24"/>
    <s v="Samsung"/>
    <e v="#N/A"/>
    <e v="#N/A"/>
    <s v="615-881-4574"/>
    <n v="15"/>
  </r>
  <r>
    <s v="AT&amp;T"/>
    <n v="25"/>
    <x v="0"/>
    <s v="615-906-5129"/>
    <s v="RUDY BAHENA"/>
    <n v="189"/>
    <n v="-16.670000000000002"/>
    <n v="50"/>
    <s v="-"/>
    <n v="4.2300000000000004"/>
    <n v="1.92"/>
    <n v="39.479999999999997"/>
    <n v="39.479999999999997"/>
    <s v="Galaxy "/>
    <s v="BAHENA, RUDY"/>
    <s v="LOGISTICS WEST"/>
    <s v="615-906-5129"/>
    <n v="15"/>
  </r>
  <r>
    <s v="AT&amp;T"/>
    <n v="25"/>
    <x v="0"/>
    <s v="615-939-6293"/>
    <s v="GABRIEL NASHVILLE"/>
    <n v="191"/>
    <n v="-7.45"/>
    <n v="50"/>
    <s v="-"/>
    <n v="4.87"/>
    <n v="2.57"/>
    <n v="49.99"/>
    <n v="49.99"/>
    <s v="CANCELADO"/>
    <s v="CANCELADO"/>
    <e v="#N/A"/>
    <s v="NO"/>
    <n v="25"/>
  </r>
  <r>
    <s v="AT&amp;T"/>
    <n v="25"/>
    <x v="0"/>
    <s v="615-939-8241"/>
    <s v="ALBERT CARDOZO"/>
    <n v="193"/>
    <n v="-35"/>
    <n v="50"/>
    <s v="-"/>
    <n v="4.2300000000000004"/>
    <n v="1.92"/>
    <n v="21.15"/>
    <n v="21.15"/>
    <s v="Iphone"/>
    <s v="CARDOZO, ALBERT YVAN"/>
    <s v="SALES RITEFILL DSD CENTRAL"/>
    <s v="615-939-8241"/>
    <n v="15"/>
  </r>
  <r>
    <s v="AT&amp;T"/>
    <n v="25"/>
    <x v="0"/>
    <s v="615-939-9582"/>
    <s v="EDWIN GONZALEZ"/>
    <n v="195"/>
    <n v="-7.45"/>
    <n v="50"/>
    <s v="-"/>
    <n v="4.87"/>
    <n v="2.57"/>
    <n v="49.99"/>
    <n v="49.99"/>
    <s v="Galaxy"/>
    <s v="CASTILLO DUARTE, JOSE EDUARDO"/>
    <s v="Finance"/>
    <s v="NO"/>
    <n v="25"/>
  </r>
  <r>
    <s v="AT&amp;T"/>
    <n v="25"/>
    <x v="0"/>
    <s v="615-961-5944"/>
    <s v="JOSE BURGOS"/>
    <n v="197"/>
    <n v="-35"/>
    <n v="50"/>
    <s v="-"/>
    <n v="4.2300000000000004"/>
    <n v="1.92"/>
    <n v="21.15"/>
    <n v="21.15"/>
    <s v="Iphone"/>
    <s v="SILVA, ELISA"/>
    <s v="SALES WEST"/>
    <s v="615-961-5944"/>
    <n v="15"/>
  </r>
  <r>
    <s v="AT&amp;T"/>
    <n v="25"/>
    <x v="0"/>
    <s v="615-969-5642"/>
    <s v="KARLA SOLIS"/>
    <n v="199"/>
    <s v="-"/>
    <n v="50"/>
    <s v="-"/>
    <n v="4.87"/>
    <n v="2.57"/>
    <n v="57.44"/>
    <n v="57.44"/>
    <s v="Iphone"/>
    <s v="SOLIS SAN ANDRES, KARLA G"/>
    <s v="SALES WEST"/>
    <s v="NO"/>
    <n v="25"/>
  </r>
  <r>
    <s v="AT&amp;T"/>
    <n v="25"/>
    <x v="0"/>
    <s v="629-239-0377"/>
    <s v="CARMEN LONGA LG"/>
    <n v="201"/>
    <s v="-"/>
    <n v="50"/>
    <s v="-"/>
    <n v="4.87"/>
    <n v="2.57"/>
    <n v="57.44"/>
    <n v="57.44"/>
    <s v="Iphone"/>
    <s v="LONGA, CARMEN B"/>
    <s v="LOGISTICS WEST"/>
    <s v="NO"/>
    <n v="25"/>
  </r>
  <r>
    <s v="AT&amp;T"/>
    <n v="25"/>
    <x v="0"/>
    <s v="629-239-0999"/>
    <s v="JOSE LUCIO"/>
    <n v="203"/>
    <n v="-35"/>
    <n v="50"/>
    <s v="-"/>
    <n v="4.2300000000000004"/>
    <n v="1.92"/>
    <n v="21.15"/>
    <n v="21.15"/>
    <s v="Iphone"/>
    <s v="LUCIO FLORES, JOSE ANGEL"/>
    <s v="SALES NORTH"/>
    <s v="629-239-0999"/>
    <n v="15"/>
  </r>
  <r>
    <s v="AT&amp;T"/>
    <n v="25"/>
    <x v="0"/>
    <s v="629-256-6967"/>
    <s v="YNGEL GUTIERREZ"/>
    <n v="205"/>
    <s v="-"/>
    <n v="30"/>
    <s v="-"/>
    <n v="3.75"/>
    <s v="-"/>
    <n v="33.75"/>
    <n v="33.75"/>
    <s v="Ipad"/>
    <s v="GUTIERREZ TOVAR, YNGEL J"/>
    <s v="SALES CENTRAL"/>
    <s v="NO"/>
    <n v="25"/>
  </r>
  <r>
    <s v="AT&amp;T"/>
    <n v="25"/>
    <x v="0"/>
    <s v="629-256-9168"/>
    <s v="YNGEL GUTIERREZ"/>
    <n v="207"/>
    <n v="-35"/>
    <n v="50"/>
    <s v="-"/>
    <n v="4.2300000000000004"/>
    <n v="1.92"/>
    <n v="21.15"/>
    <n v="21.15"/>
    <s v="Iphone"/>
    <s v="GUTIERREZ TOVAR, YNGEL J"/>
    <s v="SALES CENTRAL"/>
    <s v="629-256-9168"/>
    <n v="15"/>
  </r>
  <r>
    <s v="AT&amp;T"/>
    <n v="25"/>
    <x v="0"/>
    <s v="629-264-3070"/>
    <s v="RICARDO BRITO HR"/>
    <n v="209"/>
    <n v="-6.75"/>
    <n v="50"/>
    <s v="-"/>
    <n v="4.87"/>
    <n v="2.57"/>
    <n v="50.69"/>
    <n v="50.69"/>
    <s v="Iphone"/>
    <s v="BRITO SALAZAR, RICARDO JOSE"/>
    <s v="HR"/>
    <s v="NO"/>
    <n v="25"/>
  </r>
  <r>
    <s v="AT&amp;T"/>
    <n v="25"/>
    <x v="0"/>
    <s v="629-285-9899"/>
    <s v="MIGUEL ZUBILLAGA"/>
    <n v="211"/>
    <s v="-"/>
    <n v="50"/>
    <n v="20"/>
    <n v="4.87"/>
    <n v="2.57"/>
    <n v="77.44"/>
    <n v="77.44"/>
    <s v="Iphone"/>
    <s v="LODYGENSKY, ISABELE"/>
    <s v="Corpotative ESG 110002"/>
    <s v="NO"/>
    <n v="25"/>
  </r>
  <r>
    <s v="AT&amp;T"/>
    <n v="25"/>
    <x v="0"/>
    <s v="629-318-9009"/>
    <s v="IPAD DE NACOMY"/>
    <n v="213"/>
    <s v="-"/>
    <n v="15"/>
    <s v="-"/>
    <n v="3.75"/>
    <s v="-"/>
    <n v="18.75"/>
    <n v="18.75"/>
    <s v="CANCELADO"/>
    <s v="CANCELADO"/>
    <e v="#N/A"/>
    <s v="NO"/>
    <n v="25"/>
  </r>
  <r>
    <s v="AT&amp;T"/>
    <n v="25"/>
    <x v="0"/>
    <s v="629-468-1066"/>
    <s v="REPLACEMENT LOST PHONE"/>
    <n v="215"/>
    <s v="-"/>
    <n v="50"/>
    <n v="5.99"/>
    <n v="4.87"/>
    <n v="2.57"/>
    <n v="63.43"/>
    <n v="63.43"/>
    <s v="CANCELADO"/>
    <s v="CANCELADO"/>
    <e v="#N/A"/>
    <s v="NO"/>
    <n v="25"/>
  </r>
  <r>
    <s v="AT&amp;T"/>
    <n v="25"/>
    <x v="0"/>
    <s v="629-468-8256"/>
    <s v="MARANGELIE RIVERA"/>
    <n v="217"/>
    <n v="-7.45"/>
    <n v="50"/>
    <s v="-"/>
    <n v="4.87"/>
    <n v="2.57"/>
    <n v="49.99"/>
    <n v="49.99"/>
    <n v="0"/>
    <s v="VIVAS, REYNA E"/>
    <s v="SALES RITEFILL DSD WEST"/>
    <s v="NO"/>
    <n v="25"/>
  </r>
  <r>
    <s v="AT&amp;T"/>
    <n v="25"/>
    <x v="0"/>
    <s v="678-579-7572"/>
    <s v="GABRIEL ABOUKHEIR"/>
    <n v="219"/>
    <s v="-"/>
    <n v="50"/>
    <s v="-"/>
    <n v="4.87"/>
    <n v="2.39"/>
    <n v="57.26"/>
    <n v="57.26"/>
    <s v="no aplica"/>
    <s v="GABRIEL ABOUK..."/>
    <s v="ATLANTA"/>
    <s v="NO"/>
    <n v="25"/>
  </r>
  <r>
    <s v="AT&amp;T"/>
    <n v="25"/>
    <x v="0"/>
    <s v="678-748-6121"/>
    <s v="GUSTAVO MORILLO"/>
    <n v="221"/>
    <s v="-"/>
    <n v="50"/>
    <s v="-"/>
    <n v="4.87"/>
    <n v="2.39"/>
    <n v="57.26"/>
    <n v="57.26"/>
    <s v="no aplica"/>
    <s v="GUSTAVO MORILLO"/>
    <s v="ATLANTA"/>
    <s v="NO"/>
    <n v="25"/>
  </r>
  <r>
    <s v="AT&amp;T"/>
    <n v="25"/>
    <x v="0"/>
    <s v="678-906-8991"/>
    <s v="ROSALINA SOCORRO"/>
    <n v="223"/>
    <s v="-"/>
    <n v="50"/>
    <s v="-"/>
    <n v="4.87"/>
    <n v="2.39"/>
    <n v="57.26"/>
    <n v="57.26"/>
    <s v="no aplica"/>
    <s v="ROSALINA SOCORRO"/>
    <s v="ATLANTA"/>
    <s v="NO"/>
    <n v="25"/>
  </r>
  <r>
    <s v="AT&amp;T"/>
    <n v="25"/>
    <x v="0"/>
    <s v="678-925-4534"/>
    <s v="ABIGAIL QUINTERO"/>
    <n v="225"/>
    <s v="-"/>
    <n v="50"/>
    <s v="-"/>
    <n v="4.87"/>
    <n v="2.39"/>
    <n v="57.26"/>
    <n v="57.26"/>
    <s v="no aplica"/>
    <s v="ABIGAIL QUINTERO"/>
    <s v="ATLANTA"/>
    <s v="NO"/>
    <n v="25"/>
  </r>
  <r>
    <s v="AT&amp;T"/>
    <n v="25"/>
    <x v="0"/>
    <s v="859-321-3539"/>
    <s v="ESMERALDA WILSON"/>
    <n v="227"/>
    <n v="-35"/>
    <n v="50"/>
    <s v="-"/>
    <n v="4.2300000000000004"/>
    <n v="1.92"/>
    <n v="21.15"/>
    <n v="21.15"/>
    <s v="Iphone"/>
    <e v="#N/A"/>
    <e v="#N/A"/>
    <s v="859-321-3539"/>
    <n v="15"/>
  </r>
  <r>
    <s v="AT&amp;T"/>
    <n v="25"/>
    <x v="0"/>
    <s v="865-334-0516"/>
    <s v="FABIOLA ROJAS MER"/>
    <n v="229"/>
    <s v="-"/>
    <n v="50"/>
    <n v="5"/>
    <n v="4.87"/>
    <n v="2.57"/>
    <n v="62.44"/>
    <n v="62.44"/>
    <s v="Iphone"/>
    <s v="ROJAS, FABIOLA V"/>
    <s v="MERCHANDISER CENTRAL"/>
    <s v="NO"/>
    <n v="25"/>
  </r>
  <r>
    <s v="AT&amp;T"/>
    <n v="25"/>
    <x v="0"/>
    <s v="865-396-3526"/>
    <s v="CARLOS VELIZ"/>
    <n v="231"/>
    <n v="-35"/>
    <n v="50"/>
    <s v="-"/>
    <n v="4.2300000000000004"/>
    <n v="1.92"/>
    <n v="21.15"/>
    <n v="21.15"/>
    <s v="Iphone"/>
    <s v="VELIZ, CARLOS A"/>
    <s v="SALES CENTRAL"/>
    <s v="865-396-3526"/>
    <n v="15"/>
  </r>
  <r>
    <s v="AT&amp;T"/>
    <n v="25"/>
    <x v="0"/>
    <s v="865-396-3528"/>
    <s v="CARLOS VELIZ SA"/>
    <n v="233"/>
    <s v="-"/>
    <n v="30"/>
    <s v="-"/>
    <n v="3.75"/>
    <s v="-"/>
    <n v="33.75"/>
    <n v="33.75"/>
    <s v="Ipad"/>
    <s v="VELIZ, CARLOS A"/>
    <s v="SALES CENTRAL"/>
    <s v="NO"/>
    <n v="25"/>
  </r>
  <r>
    <s v="AT&amp;T"/>
    <n v="25"/>
    <x v="0"/>
    <s v="901-275-5428"/>
    <s v="VERUUZKO RODRIGUEZ"/>
    <n v="235"/>
    <n v="-35"/>
    <n v="50"/>
    <s v="-"/>
    <n v="4.2300000000000004"/>
    <n v="1.92"/>
    <n v="21.15"/>
    <n v="21.15"/>
    <s v="Iphone"/>
    <s v="RODRIGUEZ, VERUUZKO"/>
    <s v="SALES CENTRAL"/>
    <s v="901-275-5428"/>
    <n v="15"/>
  </r>
  <r>
    <s v="AT&amp;T"/>
    <n v="25"/>
    <x v="0"/>
    <s v="901-410-6734"/>
    <s v="SANTIAGO MEMPHIS"/>
    <n v="237"/>
    <s v="-"/>
    <n v="50"/>
    <s v="-"/>
    <n v="4.87"/>
    <n v="2.57"/>
    <n v="57.44"/>
    <n v="57.44"/>
    <s v="Galaxy"/>
    <s v="RODRIGUEZ SR, CHRISTIAN MICHEAL"/>
    <s v="LOGISTIC SOUTH"/>
    <s v="NO"/>
    <n v="25"/>
  </r>
  <r>
    <s v="AT&amp;T"/>
    <n v="25"/>
    <x v="0"/>
    <s v="901-427-2093"/>
    <s v="ANDRES SUAREZ"/>
    <n v="239"/>
    <n v="-16.670000000000002"/>
    <n v="50"/>
    <s v="-"/>
    <n v="4.2300000000000004"/>
    <n v="1.92"/>
    <n v="39.479999999999997"/>
    <n v="39.479999999999997"/>
    <s v="Galaxy "/>
    <s v="SUAREZ, ANDRES E"/>
    <s v="LOGISTICS CENTRAL"/>
    <s v="901-427-2093"/>
    <n v="15"/>
  </r>
  <r>
    <s v="AT&amp;T"/>
    <n v="25"/>
    <x v="0"/>
    <s v="901-456-2279"/>
    <s v="CARLOS PEREZ"/>
    <n v="241"/>
    <s v="-"/>
    <n v="50"/>
    <n v="5"/>
    <n v="4.87"/>
    <n v="2.57"/>
    <n v="62.44"/>
    <n v="62.44"/>
    <s v="CANCELADO"/>
    <s v="CANCELADO"/>
    <e v="#N/A"/>
    <s v="NO"/>
    <n v="25"/>
  </r>
  <r>
    <s v="AT&amp;T"/>
    <n v="25"/>
    <x v="0"/>
    <s v="901-500-6953"/>
    <s v="CESAR RODRIGUEZ KY"/>
    <n v="243"/>
    <n v="-16.670000000000002"/>
    <n v="50"/>
    <s v="-"/>
    <n v="4.2300000000000004"/>
    <n v="1.92"/>
    <n v="39.479999999999997"/>
    <n v="39.479999999999997"/>
    <s v="Galaxy "/>
    <s v="RODRIGUEZ MELENDEZ, CESAR ANIBAL"/>
    <s v="LOGISTICS NORTH"/>
    <s v="901-500-6953"/>
    <n v="15"/>
  </r>
  <r>
    <s v="AT&amp;T"/>
    <n v="25"/>
    <x v="0"/>
    <s v="901-581-6397"/>
    <s v="JOSEFINA AVALOS SA"/>
    <n v="245"/>
    <s v="-"/>
    <n v="50"/>
    <s v="-"/>
    <n v="4.87"/>
    <n v="2.57"/>
    <n v="57.44"/>
    <n v="57.44"/>
    <s v="Iphone"/>
    <s v="AVALOS, JOSEFINA"/>
    <s v="SALES WEST"/>
    <s v="NO"/>
    <n v="25"/>
  </r>
  <r>
    <s v="AT&amp;T"/>
    <n v="25"/>
    <x v="0"/>
    <s v="901-585-9984"/>
    <s v="LUIS DE LA TORRE"/>
    <n v="247"/>
    <n v="-16.670000000000002"/>
    <n v="50"/>
    <s v="-"/>
    <n v="4.2300000000000004"/>
    <n v="1.92"/>
    <n v="39.479999999999997"/>
    <n v="39.479999999999997"/>
    <s v="Galaxy "/>
    <s v="DE LA TORRE, LUIS G"/>
    <s v="LOGISTICS WEST"/>
    <s v="901-585-9984"/>
    <n v="15"/>
  </r>
  <r>
    <s v="AT&amp;T"/>
    <n v="25"/>
    <x v="0"/>
    <s v="901-607-5291"/>
    <s v="BENY CORPUS"/>
    <n v="249"/>
    <n v="-16.670000000000002"/>
    <n v="50"/>
    <s v="-"/>
    <n v="4.2300000000000004"/>
    <n v="1.92"/>
    <n v="39.479999999999997"/>
    <n v="39.479999999999997"/>
    <s v="Galaxy "/>
    <s v="CORPUS, BENY A"/>
    <s v="LOGISTICS CENTRAL"/>
    <s v="901-607-5291"/>
    <n v="15"/>
  </r>
  <r>
    <s v="AT&amp;T"/>
    <n v="25"/>
    <x v="0"/>
    <s v="901-649-5850"/>
    <s v="RAFAEL CHANCHAMIRE SA"/>
    <n v="251"/>
    <s v="-"/>
    <n v="50"/>
    <n v="5.99"/>
    <n v="4.87"/>
    <n v="2.57"/>
    <n v="63.43"/>
    <n v="63.43"/>
    <s v="Iphone"/>
    <s v="CHANCHAMIRE, RAFAEL A"/>
    <s v="SALES WEST"/>
    <s v="NO"/>
    <n v="25"/>
  </r>
  <r>
    <s v="AT&amp;T"/>
    <n v="25"/>
    <x v="0"/>
    <s v="901-713-7796"/>
    <s v="ANA CAROLINA FERRERIA"/>
    <n v="253"/>
    <n v="-35"/>
    <n v="50"/>
    <s v="-"/>
    <n v="4.2300000000000004"/>
    <n v="1.92"/>
    <n v="21.15"/>
    <n v="21.15"/>
    <s v="Iphone"/>
    <s v="FERREIRA, ANA CAROLINA"/>
    <s v="MERCHANDISER WEST"/>
    <s v="901-713-7796"/>
    <n v="15"/>
  </r>
  <r>
    <s v="AT&amp;T"/>
    <n v="25"/>
    <x v="1"/>
    <s v="629-257-4960"/>
    <s v="Group 7"/>
    <s v="6"/>
    <s v="-"/>
    <m/>
    <s v="$40.00"/>
    <s v="-"/>
    <s v="-"/>
    <s v="-"/>
    <n v="40"/>
    <s v="Samsung"/>
    <e v="#N/A"/>
    <e v="#N/A"/>
    <s v="NO"/>
    <n v="25"/>
  </r>
  <r>
    <s v="AT&amp;T"/>
    <n v="25"/>
    <x v="1"/>
    <s v="629-257-4960"/>
    <s v="BACKUP INTERNET 1"/>
    <s v="13"/>
    <s v="-"/>
    <m/>
    <s v="$20.00"/>
    <s v="-"/>
    <s v="$3.75"/>
    <s v="-"/>
    <n v="23.75"/>
    <s v="Samsung"/>
    <e v="#N/A"/>
    <e v="#N/A"/>
    <s v="NO"/>
    <n v="25"/>
  </r>
  <r>
    <s v="AT&amp;T"/>
    <n v="25"/>
    <x v="1"/>
    <s v="629-258-0227"/>
    <s v="Group 8"/>
    <s v="6"/>
    <s v="-"/>
    <m/>
    <s v="$40.00"/>
    <s v="-"/>
    <s v="-"/>
    <s v="-"/>
    <n v="40"/>
    <s v="Samsung"/>
    <e v="#N/A"/>
    <e v="#N/A"/>
    <s v="NO"/>
    <n v="25"/>
  </r>
  <r>
    <s v="AT&amp;T"/>
    <n v="25"/>
    <x v="1"/>
    <s v="629-258-0227"/>
    <s v="BACKUP INTERNET 2"/>
    <s v="15"/>
    <s v="-"/>
    <m/>
    <s v="$20.00"/>
    <s v="-"/>
    <s v="$3.75"/>
    <s v="-"/>
    <n v="23.75"/>
    <s v="Samsung"/>
    <e v="#N/A"/>
    <e v="#N/A"/>
    <s v="NO"/>
    <n v="25"/>
  </r>
  <r>
    <s v="AT&amp;T"/>
    <n v="25"/>
    <x v="1"/>
    <s v="Group 9"/>
    <s v="Group 9"/>
    <s v="7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0"/>
    <s v="Group 10"/>
    <s v="7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1"/>
    <s v="Group 11"/>
    <s v="7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2"/>
    <s v="Group 12"/>
    <s v="8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3"/>
    <s v="Group 13"/>
    <s v="8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4"/>
    <s v="Group 14"/>
    <s v="9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5"/>
    <s v="Group 15"/>
    <s v="9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6"/>
    <s v="Group 16"/>
    <s v="9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7"/>
    <s v="Group 17"/>
    <s v="10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8"/>
    <s v="Group 18"/>
    <s v="10"/>
    <s v="-$16.00"/>
    <m/>
    <s v="-"/>
    <s v="-"/>
    <s v="-"/>
    <s v="-"/>
    <n v="-16"/>
    <s v="no aplica"/>
    <e v="#N/A"/>
    <e v="#N/A"/>
    <s v="NO"/>
    <n v="-16"/>
  </r>
  <r>
    <s v="AT&amp;T"/>
    <n v="25"/>
    <x v="1"/>
    <s v="Group 19"/>
    <s v="Group 19"/>
    <s v="11"/>
    <s v="-$16.00"/>
    <m/>
    <s v="-"/>
    <s v="-"/>
    <s v="-"/>
    <s v="-"/>
    <n v="-16"/>
    <s v="no aplica"/>
    <e v="#N/A"/>
    <e v="#N/A"/>
    <s v="NO"/>
    <n v="-16"/>
  </r>
  <r>
    <s v="AT&amp;T"/>
    <n v="25"/>
    <x v="1"/>
    <s v="205-527-8021"/>
    <s v="JOSE MAITE SA"/>
    <s v="17"/>
    <s v="-$11.33"/>
    <m/>
    <s v="$35.00"/>
    <s v="$5.00"/>
    <s v="$4.51"/>
    <s v="$2.68"/>
    <n v="35.86"/>
    <s v="Iphone"/>
    <s v="MAITA, JOSE"/>
    <s v="SALES SOUTH"/>
    <s v="NO"/>
    <n v="25"/>
  </r>
  <r>
    <s v="AT&amp;T"/>
    <n v="25"/>
    <x v="1"/>
    <s v="205-529-6296"/>
    <s v="ROSMARY SILVA"/>
    <s v="19"/>
    <s v="-$11.33"/>
    <m/>
    <s v="$35.00"/>
    <s v="-"/>
    <s v="$5.15"/>
    <s v="$2.88"/>
    <n v="31.7"/>
    <s v="Iphone"/>
    <s v="SILVA R, ROSMARY JOSE"/>
    <s v="SALES SOUTH"/>
    <s v="205-529-6296"/>
    <n v="15"/>
  </r>
  <r>
    <s v="AT&amp;T"/>
    <n v="25"/>
    <x v="1"/>
    <s v="205-767-8090"/>
    <s v="JESUS GUERRERO"/>
    <s v="21"/>
    <s v="-$11.33"/>
    <m/>
    <s v="$35.00"/>
    <s v="-"/>
    <s v="$5.15"/>
    <s v="$2.88"/>
    <n v="31.7"/>
    <s v="Iphone"/>
    <s v="GUERRERO, JESUS"/>
    <s v="SALES SOUTH"/>
    <s v="205-767-8090"/>
    <n v="15"/>
  </r>
  <r>
    <s v="AT&amp;T"/>
    <n v="25"/>
    <x v="1"/>
    <s v="256-631-4188"/>
    <s v="DANIEL FLORES IPAD SA"/>
    <s v="23"/>
    <s v="$12.00"/>
    <m/>
    <s v="$15.00"/>
    <s v="-"/>
    <s v="$3.75"/>
    <s v="-"/>
    <n v="30.75"/>
    <s v="Ipad"/>
    <s v="FLORES, JOSE DANIEL"/>
    <s v="SALES SOUTH"/>
    <s v="NO"/>
    <n v="25"/>
  </r>
  <r>
    <s v="AT&amp;T"/>
    <n v="25"/>
    <x v="1"/>
    <s v="256-724-1530"/>
    <s v="DANIEL FLORES SA"/>
    <s v="25"/>
    <s v="-$11.33"/>
    <m/>
    <s v="$35.00"/>
    <s v="$10.99"/>
    <s v="$4.51"/>
    <s v="$2.68"/>
    <n v="41.85"/>
    <s v="Iphone"/>
    <s v="FLORES, JOSE DANIEL"/>
    <s v="SALES SOUTH"/>
    <s v="NO"/>
    <n v="25"/>
  </r>
  <r>
    <s v="AT&amp;T"/>
    <n v="25"/>
    <x v="1"/>
    <s v="270-779-9642"/>
    <s v="AMALIA BENOCMO"/>
    <s v="27"/>
    <s v="$10.83"/>
    <m/>
    <s v="$25.00"/>
    <s v="-"/>
    <s v="$6.69"/>
    <s v="$3.23"/>
    <n v="45.75"/>
    <e v="#N/A"/>
    <e v="#N/A"/>
    <e v="#N/A"/>
    <s v="NO"/>
    <n v="25"/>
  </r>
  <r>
    <s v="AT&amp;T"/>
    <n v="25"/>
    <x v="1"/>
    <s v="314-309-4058"/>
    <s v="YESENIA LOPEZ"/>
    <s v="29"/>
    <s v="-$11.33"/>
    <m/>
    <s v="$35.00"/>
    <s v="$5.00"/>
    <s v="$4.51"/>
    <s v="$2.23"/>
    <n v="35.409999999999997"/>
    <s v="Iphone"/>
    <s v="LOPEZ, YESENIA"/>
    <s v="SALES WEST"/>
    <s v="NO"/>
    <n v="25"/>
  </r>
  <r>
    <s v="AT&amp;T"/>
    <n v="25"/>
    <x v="1"/>
    <s v="314-580-3315"/>
    <s v="VICTOR CAICEDO"/>
    <s v="31"/>
    <s v="$156.67"/>
    <m/>
    <s v="$35.00"/>
    <s v="-"/>
    <s v="$9.49"/>
    <s v="$5.54"/>
    <n v="206.7"/>
    <s v="Iphone"/>
    <s v="CAICEDO, VICTOR M"/>
    <s v="SALES WEST"/>
    <s v="314-580-3315"/>
    <n v="15"/>
  </r>
  <r>
    <s v="AT&amp;T"/>
    <n v="25"/>
    <x v="1"/>
    <s v="317-500-7156"/>
    <s v="NAYELY SORIANO"/>
    <s v="33"/>
    <s v="-$11.33"/>
    <m/>
    <s v="$35.00"/>
    <s v="-"/>
    <s v="$5.15"/>
    <s v="$2.88"/>
    <n v="31.7"/>
    <s v="Iphone"/>
    <s v="SORIANO, NAYELY"/>
    <s v="SALES NORTH"/>
    <s v="317-500-7156"/>
    <n v="15"/>
  </r>
  <r>
    <s v="AT&amp;T"/>
    <n v="25"/>
    <x v="1"/>
    <s v="423-321-4014"/>
    <s v="JUAN CARLOS CORADO"/>
    <s v="35"/>
    <s v="-$11.33"/>
    <m/>
    <s v="$35.00"/>
    <s v="-"/>
    <s v="$5.15"/>
    <s v="$2.88"/>
    <n v="31.7"/>
    <s v="Iphone"/>
    <s v="CORADO, JUAN CARLOS"/>
    <s v="SALES SOUTH"/>
    <s v="423-321-4014"/>
    <n v="15"/>
  </r>
  <r>
    <s v="AT&amp;T"/>
    <n v="25"/>
    <x v="1"/>
    <s v="463-209-9259"/>
    <s v="EDILIA SSHINE SA"/>
    <s v="37"/>
    <s v="-$11.33"/>
    <m/>
    <s v="$35.00"/>
    <s v="-"/>
    <s v="$4.51"/>
    <s v="$2.23"/>
    <n v="30.41"/>
    <s v="Iphone"/>
    <s v="SHINE, EDILIA D"/>
    <s v="SALES NORTH"/>
    <s v="NO"/>
    <n v="25"/>
  </r>
  <r>
    <s v="AT&amp;T"/>
    <n v="25"/>
    <x v="1"/>
    <s v="463-867-7910"/>
    <s v="NEW INDY USER DISTR..."/>
    <s v="39"/>
    <s v="-$35.00"/>
    <m/>
    <s v="-"/>
    <s v="$5.99"/>
    <s v="-$0.52"/>
    <s v="-$0.33"/>
    <n v="-29.86"/>
    <e v="#N/A"/>
    <e v="#N/A"/>
    <e v="#N/A"/>
    <s v="NO"/>
    <n v="-29.86"/>
  </r>
  <r>
    <s v="AT&amp;T"/>
    <n v="25"/>
    <x v="1"/>
    <s v="470-330-9757"/>
    <s v="KAREN ORELLANA"/>
    <s v="41"/>
    <s v="-$44.50"/>
    <m/>
    <s v="-"/>
    <s v="-"/>
    <s v="-$0.59"/>
    <s v="-$0.58"/>
    <n v="-45.67"/>
    <e v="#N/A"/>
    <e v="#N/A"/>
    <e v="#N/A"/>
    <s v="NO"/>
    <n v="-45.67"/>
  </r>
  <r>
    <s v="AT&amp;T"/>
    <n v="25"/>
    <x v="1"/>
    <s v="470-609-0538"/>
    <s v="DANIEL GARCIA"/>
    <s v="43"/>
    <s v="-$11.33"/>
    <m/>
    <s v="$35.00"/>
    <s v="-"/>
    <s v="$4.51"/>
    <s v="$2.12"/>
    <n v="30.3"/>
    <s v="no aplica"/>
    <s v="DANIEL GARCIA"/>
    <s v="ATLANTA"/>
    <s v="NO"/>
    <n v="25"/>
  </r>
  <r>
    <s v="AT&amp;T"/>
    <n v="25"/>
    <x v="1"/>
    <s v="470-609-0570"/>
    <s v="OSCAR BARRAGAN"/>
    <s v="45"/>
    <s v="-$11.33"/>
    <m/>
    <s v="$35.00"/>
    <s v="-"/>
    <s v="$4.51"/>
    <s v="$2.12"/>
    <n v="30.3"/>
    <s v="no aplica"/>
    <s v="OSCAR BARRAGAN"/>
    <s v="ATLANTA"/>
    <s v="NO"/>
    <n v="25"/>
  </r>
  <r>
    <s v="AT&amp;T"/>
    <n v="25"/>
    <x v="1"/>
    <s v="470-737-8596"/>
    <s v="ISRAEL LOPEZ"/>
    <s v="47"/>
    <s v="-$35.00"/>
    <m/>
    <s v="-"/>
    <s v="-"/>
    <s v="-$0.47"/>
    <s v="-$0.46"/>
    <n v="-35.93"/>
    <e v="#N/A"/>
    <e v="#N/A"/>
    <e v="#N/A"/>
    <s v="NO"/>
    <n v="-35.93"/>
  </r>
  <r>
    <s v="AT&amp;T"/>
    <n v="25"/>
    <x v="1"/>
    <s v="501-773-3738"/>
    <s v="SALES ARKANSAS"/>
    <s v="49"/>
    <s v="-$15.00"/>
    <m/>
    <s v="$15.00"/>
    <s v="-"/>
    <s v="$3.75"/>
    <s v="-"/>
    <n v="3.75"/>
    <s v="Ipad"/>
    <s v="VILLAVICENCIO, ARTURO J"/>
    <s v="SALES WEST"/>
    <s v="NO"/>
    <n v="25"/>
  </r>
  <r>
    <s v="AT&amp;T"/>
    <n v="25"/>
    <x v="1"/>
    <s v="501-773-3763"/>
    <s v="ARTURO VILLAVICENCIO"/>
    <s v="51"/>
    <s v="-$11.33"/>
    <m/>
    <s v="$35.00"/>
    <s v="-"/>
    <s v="$5.15"/>
    <s v="$2.88"/>
    <n v="31.7"/>
    <s v="Iphone"/>
    <s v="VILLAVICENCIO, ARTURO J"/>
    <s v="SALES WEST"/>
    <s v="501-773-3763"/>
    <n v="15"/>
  </r>
  <r>
    <s v="AT&amp;T"/>
    <n v="25"/>
    <x v="1"/>
    <s v="502-341-1558"/>
    <s v="DILVER GARCIA"/>
    <s v="53"/>
    <s v="-$29.66"/>
    <m/>
    <s v="$35.00"/>
    <s v="-"/>
    <s v="$5.61"/>
    <s v="$1.57"/>
    <n v="12.52"/>
    <s v="Galaxy "/>
    <s v="SUAREZ LEZCANO, FERNANDO M"/>
    <s v="SALES RITEFILL DSD CENTRAL"/>
    <s v="502-341-1558"/>
    <n v="15"/>
  </r>
  <r>
    <s v="AT&amp;T"/>
    <n v="25"/>
    <x v="1"/>
    <s v="502-558-5770"/>
    <s v="JAVIER MOJICA LG"/>
    <s v="55"/>
    <s v="-"/>
    <m/>
    <s v="$25.00"/>
    <s v="-"/>
    <s v="$5.18"/>
    <s v="$2.46"/>
    <n v="32.64"/>
    <s v="Galaxy "/>
    <s v="MOJICA, FRANCISCO JAVIER"/>
    <s v="LOGISTICS CENTRAL"/>
    <s v="502-558-5770"/>
    <n v="15"/>
  </r>
  <r>
    <s v="AT&amp;T"/>
    <n v="25"/>
    <x v="1"/>
    <s v="502-974-3915"/>
    <s v="CLAUDIA ARMES"/>
    <s v="57"/>
    <s v="-$11.33"/>
    <m/>
    <s v="$35.00"/>
    <s v="-"/>
    <s v="$5.15"/>
    <s v="$2.88"/>
    <n v="31.7"/>
    <s v="Iphone"/>
    <s v="ARMES, CLAUDIA"/>
    <s v="SALES NORTH"/>
    <s v="502-974-3915"/>
    <n v="15"/>
  </r>
  <r>
    <s v="AT&amp;T"/>
    <n v="25"/>
    <x v="1"/>
    <s v="513-675-0865"/>
    <s v="IRIS CORDERO"/>
    <s v="59"/>
    <s v="-$11.33"/>
    <m/>
    <s v="$35.00"/>
    <s v="-"/>
    <s v="$5.15"/>
    <s v="$2.88"/>
    <n v="31.7"/>
    <s v="Iphone"/>
    <s v="CORDERO, IRIS"/>
    <s v="SALES NORTH"/>
    <s v="513-675-0865"/>
    <n v="15"/>
  </r>
  <r>
    <s v="AT&amp;T"/>
    <n v="25"/>
    <x v="1"/>
    <s v="513-720-1147"/>
    <s v="CINCINNATI LIMENA"/>
    <s v="61"/>
    <s v="-$11.33"/>
    <m/>
    <s v="$35.00"/>
    <s v="$5.00"/>
    <s v="$4.57"/>
    <s v="$0.97"/>
    <n v="34.21"/>
    <s v="Iphone"/>
    <s v="ALVAREZ PALOMARES M, PAULA MAYREN"/>
    <s v="MERCHANDISER NORTH"/>
    <s v="NO"/>
    <n v="25"/>
  </r>
  <r>
    <s v="AT&amp;T"/>
    <n v="25"/>
    <x v="1"/>
    <s v="601-910-8492"/>
    <s v="ROSMARY LACRUZ"/>
    <s v="63"/>
    <s v="-$11.33"/>
    <m/>
    <s v="$35.00"/>
    <s v="-"/>
    <s v="$5.15"/>
    <s v="$2.88"/>
    <n v="31.7"/>
    <s v="Iphone"/>
    <s v="LACRUZ, ROSMARY"/>
    <s v="SALES WEST"/>
    <s v="601-910-8492"/>
    <n v="15"/>
  </r>
  <r>
    <s v="AT&amp;T"/>
    <n v="25"/>
    <x v="1"/>
    <s v="615-207-2464"/>
    <s v="OSMAN CABRERA"/>
    <s v="65"/>
    <s v="-$11.33"/>
    <m/>
    <s v="$35.00"/>
    <s v="-"/>
    <s v="$5.15"/>
    <s v="$2.88"/>
    <n v="31.7"/>
    <s v="Iphone"/>
    <s v="CABRERA, OSMAN A"/>
    <s v="SALES CENTRAL"/>
    <s v="615-207-2464"/>
    <n v="15"/>
  </r>
  <r>
    <s v="AT&amp;T"/>
    <n v="25"/>
    <x v="1"/>
    <s v="615-299-3640"/>
    <s v="SIMON CASTELLANO"/>
    <s v="67"/>
    <s v="-"/>
    <m/>
    <s v="$25.00"/>
    <s v="-"/>
    <s v="$4.53"/>
    <s v="$4.27"/>
    <n v="33.799999999999997"/>
    <s v="Galaxy"/>
    <s v="DE LOS SANTOS, LUIS"/>
    <s v="LOGISTIC SOUTH"/>
    <s v="615-299-3640"/>
    <n v="15"/>
  </r>
  <r>
    <s v="AT&amp;T"/>
    <n v="25"/>
    <x v="1"/>
    <s v="615-299-3641"/>
    <s v="EDGAR FERNANDEZ LQ"/>
    <s v="69"/>
    <s v="-$18.78"/>
    <m/>
    <s v="$35.00"/>
    <s v="-"/>
    <s v="$4.51"/>
    <s v="$2.23"/>
    <n v="22.96"/>
    <s v="Motorola"/>
    <s v="FERNANDEZ, EDGAR"/>
    <s v="LOGISTICS CENTRAL"/>
    <s v="NO"/>
    <n v="25"/>
  </r>
  <r>
    <s v="AT&amp;T"/>
    <n v="25"/>
    <x v="1"/>
    <s v="615-305-1999"/>
    <s v="IPAD SALES"/>
    <s v="71"/>
    <s v="-$18.50"/>
    <m/>
    <s v="$10.00"/>
    <s v="-"/>
    <s v="-"/>
    <s v="-"/>
    <n v="-8.5"/>
    <e v="#N/A"/>
    <e v="#N/A"/>
    <e v="#N/A"/>
    <s v="NO"/>
    <n v="-8.5"/>
  </r>
  <r>
    <s v="AT&amp;T"/>
    <n v="25"/>
    <x v="1"/>
    <s v="615-310-9970"/>
    <s v="ALBERT CARDOZO"/>
    <s v="73"/>
    <s v="-"/>
    <m/>
    <s v="$15.00"/>
    <s v="-"/>
    <s v="$3.75"/>
    <s v="-"/>
    <n v="18.75"/>
    <s v="Ipad"/>
    <s v="CARDOZO, ALBERT YVAN"/>
    <s v="SALES RITEFILL DSD CENTRAL"/>
    <s v="615-310-9970"/>
    <n v="15"/>
  </r>
  <r>
    <s v="AT&amp;T"/>
    <n v="25"/>
    <x v="1"/>
    <s v="615-316-8577"/>
    <s v="HR LIMENA"/>
    <s v="75"/>
    <s v="-$11.33"/>
    <m/>
    <s v="$35.00"/>
    <s v="$25.00"/>
    <s v="$4.51"/>
    <s v="$2.23"/>
    <n v="55.41"/>
    <s v="Iphone"/>
    <s v="DUQUE IYENGAR, DANIELA"/>
    <s v="HR"/>
    <s v="NO"/>
    <n v="25"/>
  </r>
  <r>
    <s v="AT&amp;T"/>
    <n v="25"/>
    <x v="1"/>
    <s v="615-337-4949"/>
    <s v="DAVID CONDE WH"/>
    <s v="77"/>
    <s v="-$11.33"/>
    <m/>
    <s v="$35.00"/>
    <s v="-"/>
    <s v="$4.51"/>
    <s v="$2.23"/>
    <n v="30.41"/>
    <s v="Galaxy"/>
    <s v="CONDE TORRES, DAVID A"/>
    <s v="WAREHOUSE CENTRAL"/>
    <s v="NO"/>
    <n v="25"/>
  </r>
  <r>
    <s v="AT&amp;T"/>
    <n v="25"/>
    <x v="1"/>
    <s v="615-390-4624"/>
    <s v="HENRY ESQUIVEL"/>
    <s v="79"/>
    <s v="-$11.33"/>
    <m/>
    <s v="$35.00"/>
    <s v="-"/>
    <s v="$5.15"/>
    <s v="$2.88"/>
    <n v="31.7"/>
    <s v="Iphone"/>
    <s v="ESQUIVEL, HENRY"/>
    <s v="WAREHOUSE CENTRAL"/>
    <s v="615-390-4624"/>
    <n v="15"/>
  </r>
  <r>
    <s v="AT&amp;T"/>
    <n v="25"/>
    <x v="1"/>
    <s v="615-403-8760"/>
    <s v="MERARI VILLATORO"/>
    <s v="81"/>
    <s v="$96.67"/>
    <m/>
    <s v="$35.00"/>
    <s v="$38.89"/>
    <s v="$15.46"/>
    <s v="$5.36"/>
    <n v="191.38"/>
    <s v="Iphone"/>
    <s v="VILLATORO, MERARI"/>
    <s v="VP"/>
    <s v="NO"/>
    <n v="25"/>
  </r>
  <r>
    <s v="AT&amp;T"/>
    <n v="25"/>
    <x v="1"/>
    <s v="615-417-0015"/>
    <s v="JESSICA BARAJAS LA"/>
    <s v="83"/>
    <s v="-$11.33"/>
    <m/>
    <s v="$35.00"/>
    <s v="-"/>
    <s v="$4.51"/>
    <s v="$2.23"/>
    <n v="30.41"/>
    <s v="Iphone"/>
    <s v="BARAJAS, JESSICA"/>
    <s v="SALES NORTH"/>
    <s v="NO"/>
    <n v="25"/>
  </r>
  <r>
    <s v="AT&amp;T"/>
    <n v="25"/>
    <x v="1"/>
    <s v="615-417-9594"/>
    <s v="NICOLAS FINANZAS"/>
    <s v="85"/>
    <s v="-$11.33"/>
    <m/>
    <s v="$35.00"/>
    <s v="-"/>
    <s v="$4.51"/>
    <s v="$2.23"/>
    <n v="30.41"/>
    <s v="Iphone"/>
    <s v="QUIJANO, NICOLAS"/>
    <s v="CFO"/>
    <s v="NO"/>
    <n v="25"/>
  </r>
  <r>
    <s v="AT&amp;T"/>
    <n v="25"/>
    <x v="1"/>
    <s v="615-426-4622"/>
    <s v="ZEDRICK PATINO"/>
    <s v="87"/>
    <s v="-$11.33"/>
    <m/>
    <s v="$35.00"/>
    <s v="-"/>
    <s v="$4.51"/>
    <s v="$2.23"/>
    <n v="30.41"/>
    <s v="Iphone"/>
    <s v="PATINO, ZEDERICK"/>
    <s v="MERCHANDISER CENTRAL"/>
    <s v="NO"/>
    <n v="25"/>
  </r>
  <r>
    <s v="AT&amp;T"/>
    <n v="25"/>
    <x v="1"/>
    <s v="615-456-2536"/>
    <s v="DANNY CABANZO"/>
    <s v="89"/>
    <s v="-$11.33"/>
    <m/>
    <s v="$35.00"/>
    <s v="-"/>
    <s v="$5.15"/>
    <s v="$2.88"/>
    <n v="31.7"/>
    <s v="Iphone"/>
    <s v="CABANZO, DANNY"/>
    <s v="SALES CENTRAL"/>
    <s v="615-456-2536"/>
    <n v="15"/>
  </r>
  <r>
    <s v="AT&amp;T"/>
    <n v="25"/>
    <x v="1"/>
    <s v="615-476-5992"/>
    <s v="MONICA AYALA"/>
    <s v="91"/>
    <s v="-$44.50"/>
    <m/>
    <s v="-"/>
    <s v="-"/>
    <s v="-$0.59"/>
    <s v="-$0.58"/>
    <n v="-45.67"/>
    <e v="#N/A"/>
    <e v="#N/A"/>
    <e v="#N/A"/>
    <s v="NO"/>
    <n v="-45.67"/>
  </r>
  <r>
    <s v="AT&amp;T"/>
    <n v="25"/>
    <x v="1"/>
    <s v="615-477-6490"/>
    <s v="MERARI TWOLINE"/>
    <s v="93"/>
    <s v="$0.67"/>
    <m/>
    <s v="$35.00"/>
    <s v="$30.56"/>
    <s v="$4.82"/>
    <s v="$2.42"/>
    <n v="73.47"/>
    <s v="Iphone"/>
    <s v="VILLATORO, MERARI"/>
    <s v="VP"/>
    <s v="NO"/>
    <n v="25"/>
  </r>
  <r>
    <s v="AT&amp;T"/>
    <n v="25"/>
    <x v="1"/>
    <s v="615-496-8278"/>
    <s v="JOHAN MADRIZ"/>
    <s v="95"/>
    <s v="$84.67"/>
    <m/>
    <s v="$35.00"/>
    <s v="$38.89"/>
    <s v="$11.07"/>
    <s v="$4.46"/>
    <n v="174.09"/>
    <s v="Iphone"/>
    <s v="MADRIZ, JOHAN"/>
    <s v="President"/>
    <s v="NO"/>
    <n v="25"/>
  </r>
  <r>
    <s v="AT&amp;T"/>
    <n v="25"/>
    <x v="1"/>
    <s v="615-585-1725"/>
    <s v="SALES DSD IPAD"/>
    <s v="97"/>
    <s v="$8.50"/>
    <m/>
    <s v="$10.00"/>
    <s v="-"/>
    <s v="-"/>
    <s v="-"/>
    <n v="18.5"/>
    <s v="Ipad"/>
    <e v="#N/A"/>
    <e v="#N/A"/>
    <s v="NO"/>
    <n v="25"/>
  </r>
  <r>
    <s v="AT&amp;T"/>
    <n v="25"/>
    <x v="1"/>
    <s v="615-586-0725"/>
    <s v="YESENIA LOPEZ SA"/>
    <s v="99"/>
    <s v="-$15.00"/>
    <m/>
    <s v="$15.00"/>
    <s v="-"/>
    <s v="$3.75"/>
    <s v="-"/>
    <n v="3.75"/>
    <s v="Ipad"/>
    <s v="LOPEZ, YESENIA"/>
    <s v="SALES WEST"/>
    <s v="NO"/>
    <n v="25"/>
  </r>
  <r>
    <s v="AT&amp;T"/>
    <n v="25"/>
    <x v="1"/>
    <s v="615-586-4787"/>
    <s v="JOSE MAITA IPAD"/>
    <s v="101"/>
    <s v="-$15.00"/>
    <m/>
    <s v="$15.00"/>
    <s v="-"/>
    <s v="$3.75"/>
    <s v="-"/>
    <n v="3.75"/>
    <s v="Ipad"/>
    <s v="MAITA, JOSE"/>
    <s v="SALES SOUTH"/>
    <s v="NO"/>
    <n v="25"/>
  </r>
  <r>
    <s v="AT&amp;T"/>
    <n v="25"/>
    <x v="1"/>
    <s v="615-589-2741"/>
    <s v="ROSMARY SILVA IPAD"/>
    <s v="103"/>
    <s v="-$15.00"/>
    <m/>
    <s v="$15.00"/>
    <s v="-"/>
    <s v="$3.75"/>
    <s v="-"/>
    <n v="3.75"/>
    <s v="Ipad"/>
    <s v="SILVA R, ROSMARY JOSE"/>
    <s v="SALES SOUTH"/>
    <s v="NO"/>
    <n v="25"/>
  </r>
  <r>
    <s v="AT&amp;T"/>
    <n v="25"/>
    <x v="1"/>
    <s v="615-589-4199"/>
    <s v="ELIZABETH PELAEZ"/>
    <s v="105"/>
    <s v="-$11.33"/>
    <m/>
    <s v="$35.00"/>
    <s v="$10.99"/>
    <s v="$4.51"/>
    <s v="$2.23"/>
    <n v="41.4"/>
    <s v="Iphone"/>
    <s v="PELAEZ, ELIZABETH"/>
    <s v="SALES CENTRAL"/>
    <s v="NO"/>
    <n v="25"/>
  </r>
  <r>
    <s v="AT&amp;T"/>
    <n v="25"/>
    <x v="1"/>
    <s v="615-626-2116"/>
    <s v="DILVER GARCIA"/>
    <s v="107"/>
    <s v="-$11.33"/>
    <m/>
    <s v="$35.00"/>
    <s v="-"/>
    <s v="$5.15"/>
    <s v="$2.88"/>
    <n v="31.7"/>
    <s v="Iphone"/>
    <s v="SUAREZ LEZCANO, FERNANDO M"/>
    <s v="SALES RITEFILL DSD CENTRAL"/>
    <s v="615-626-2116"/>
    <n v="15"/>
  </r>
  <r>
    <s v="AT&amp;T"/>
    <n v="25"/>
    <x v="1"/>
    <s v="615-626-2756"/>
    <s v="LIZET NAJERA"/>
    <s v="109"/>
    <s v="-$11.33"/>
    <m/>
    <s v="$35.00"/>
    <s v="-"/>
    <s v="$5.15"/>
    <s v="$2.88"/>
    <n v="31.7"/>
    <s v="Iphone"/>
    <s v="NAJERA, LIZET"/>
    <s v="SALES NORTH"/>
    <s v="615-626-2756"/>
    <n v="15"/>
  </r>
  <r>
    <s v="AT&amp;T"/>
    <n v="25"/>
    <x v="1"/>
    <s v="615-626-3208"/>
    <s v="ALEJANDRA LOPEZ"/>
    <s v="111"/>
    <s v="-$11.33"/>
    <m/>
    <s v="$35.00"/>
    <s v="-"/>
    <s v="$5.15"/>
    <s v="$2.88"/>
    <n v="31.7"/>
    <s v="Iphone"/>
    <s v="LOPEZ, ALEJANDRA C"/>
    <s v="SALES WEST"/>
    <s v="615-626-3208"/>
    <n v="15"/>
  </r>
  <r>
    <s v="AT&amp;T"/>
    <n v="25"/>
    <x v="1"/>
    <s v="615-626-3219"/>
    <s v="ZULLYMAR TOVAR"/>
    <s v="113"/>
    <s v="-$11.33"/>
    <m/>
    <s v="$35.00"/>
    <s v="-"/>
    <s v="$5.15"/>
    <s v="$2.88"/>
    <n v="31.7"/>
    <n v="0"/>
    <s v="TOVAR, ZULLYMAR"/>
    <s v="SALES CENTRAL"/>
    <s v="615-626-3219"/>
    <n v="15"/>
  </r>
  <r>
    <s v="AT&amp;T"/>
    <n v="25"/>
    <x v="1"/>
    <s v="615-626-4243"/>
    <s v="JOSE HERRERA"/>
    <s v="115"/>
    <s v="-$5.33"/>
    <m/>
    <s v="$35.00"/>
    <s v="$23.44"/>
    <s v="$6.71"/>
    <s v="$2.68"/>
    <n v="62.5"/>
    <s v="Iphone"/>
    <s v="HERRERA MOLINA, JOSE CARLOS"/>
    <s v="CEO"/>
    <s v="NO"/>
    <n v="25"/>
  </r>
  <r>
    <s v="AT&amp;T"/>
    <n v="25"/>
    <x v="1"/>
    <s v="615-674-8479"/>
    <s v="JORGE PRADO"/>
    <s v="117"/>
    <s v="-$21.33"/>
    <m/>
    <s v="$35.00"/>
    <s v="$25.00"/>
    <s v="$4.39"/>
    <s v="-$2.88"/>
    <n v="40.18"/>
    <s v="Iphone"/>
    <s v="PRADO, JORGE A"/>
    <s v="COO"/>
    <s v="NO"/>
    <n v="25"/>
  </r>
  <r>
    <s v="AT&amp;T"/>
    <n v="25"/>
    <x v="1"/>
    <s v="615-691-3166"/>
    <s v="WAREHOUSE TN NASHVILLE"/>
    <s v="119"/>
    <s v="-$11.33"/>
    <m/>
    <s v="$35.00"/>
    <s v="-"/>
    <s v="$4.51"/>
    <s v="$2.23"/>
    <n v="30.41"/>
    <s v="Iphone"/>
    <s v="QUIJANO, NICOLAS"/>
    <s v="CFO"/>
    <s v="NO"/>
    <n v="25"/>
  </r>
  <r>
    <s v="AT&amp;T"/>
    <n v="25"/>
    <x v="1"/>
    <s v="615-708-0397"/>
    <s v="JOHAN TWOLINE"/>
    <s v="121"/>
    <s v="$65.22"/>
    <m/>
    <s v="$35.00"/>
    <s v="$33.34"/>
    <s v="$6.99"/>
    <s v="$3.75"/>
    <n v="144.30000000000001"/>
    <s v="Iphone"/>
    <s v="MADRIZ, JOHAN"/>
    <s v="President"/>
    <s v="NO"/>
    <n v="25"/>
  </r>
  <r>
    <s v="AT&amp;T"/>
    <n v="25"/>
    <x v="1"/>
    <s v="615-730-3104"/>
    <s v="IVAN TELLO SA"/>
    <s v="123"/>
    <s v="-$11.33"/>
    <m/>
    <s v="$35.00"/>
    <s v="$5.00"/>
    <s v="$4.51"/>
    <s v="$2.23"/>
    <n v="35.409999999999997"/>
    <s v="Iphone"/>
    <s v="TELLO, IVAN E"/>
    <s v="SALES CENTRAL"/>
    <s v="NO"/>
    <n v="25"/>
  </r>
  <r>
    <s v="AT&amp;T"/>
    <n v="25"/>
    <x v="1"/>
    <s v="615-768-6114"/>
    <s v="ELISA GECHELE IPAD"/>
    <s v="125"/>
    <s v="-"/>
    <m/>
    <s v="$15.00"/>
    <s v="-"/>
    <s v="$3.75"/>
    <s v="-"/>
    <n v="18.75"/>
    <s v="Ipad"/>
    <s v="SILVA, ELISA"/>
    <s v="SALES WEST"/>
    <s v="NO"/>
    <n v="25"/>
  </r>
  <r>
    <s v="AT&amp;T"/>
    <n v="25"/>
    <x v="1"/>
    <s v="615-795-8193"/>
    <s v="ANDRES FUENMAYOR"/>
    <s v="127"/>
    <s v="-$29.66"/>
    <m/>
    <s v="$35.00"/>
    <s v="-"/>
    <s v="$5.15"/>
    <s v="$2.88"/>
    <n v="13.37"/>
    <s v="Galaxy "/>
    <s v="REMBERT, ANTORIUS DAVUN"/>
    <s v="LOGISTICS SOUTH"/>
    <s v="615-795-8193"/>
    <n v="15"/>
  </r>
  <r>
    <s v="AT&amp;T"/>
    <n v="25"/>
    <x v="1"/>
    <s v="615-795-8195"/>
    <s v="MERVIN FERERR"/>
    <s v="129"/>
    <s v="-$29.66"/>
    <m/>
    <s v="$35.00"/>
    <s v="-"/>
    <s v="$5.15"/>
    <s v="$2.88"/>
    <n v="13.37"/>
    <s v="Galaxy "/>
    <s v="FERRER BRACHO, MERVIN J"/>
    <s v="LOGISTICS CENTRAL"/>
    <s v="615-795-8195"/>
    <n v="15"/>
  </r>
  <r>
    <s v="AT&amp;T"/>
    <n v="25"/>
    <x v="1"/>
    <s v="615-804-0516"/>
    <s v="YULIN REYES"/>
    <s v="131"/>
    <s v="-$11.33"/>
    <m/>
    <s v="$35.00"/>
    <s v="-"/>
    <s v="$5.15"/>
    <s v="$2.88"/>
    <n v="31.7"/>
    <s v="Iphone"/>
    <s v="REYES, YULIN"/>
    <s v="SALES CENTRAL"/>
    <s v="615-804-0516"/>
    <n v="15"/>
  </r>
  <r>
    <s v="AT&amp;T"/>
    <n v="25"/>
    <x v="1"/>
    <s v="615-812-5934"/>
    <s v="ELISA SILVA"/>
    <s v="133"/>
    <s v="-$11.33"/>
    <m/>
    <s v="$35.00"/>
    <s v="-"/>
    <s v="$4.51"/>
    <s v="$2.23"/>
    <n v="30.41"/>
    <s v="Iphone"/>
    <s v="QUEVEDO, NAIROVI Y"/>
    <s v="SALES WEST"/>
    <s v="NO"/>
    <n v="25"/>
  </r>
  <r>
    <s v="AT&amp;T"/>
    <n v="25"/>
    <x v="1"/>
    <s v="615-821-3185"/>
    <s v="DSD IPHONE ALABAMA"/>
    <s v="135"/>
    <s v="$1.17"/>
    <m/>
    <s v="-"/>
    <s v="-"/>
    <s v="$0.02"/>
    <s v="$0.11"/>
    <n v="1.3"/>
    <s v="Iphone"/>
    <e v="#N/A"/>
    <e v="#N/A"/>
    <s v="NO"/>
    <n v="1.3"/>
  </r>
  <r>
    <s v="AT&amp;T"/>
    <n v="25"/>
    <x v="1"/>
    <s v="615-821-6036"/>
    <s v="AMALIA BENOCMO"/>
    <s v="137"/>
    <s v="$1.17"/>
    <m/>
    <s v="-"/>
    <s v="-"/>
    <s v="$0.02"/>
    <s v="$0.11"/>
    <n v="1.3"/>
    <s v="Iphone"/>
    <e v="#N/A"/>
    <e v="#N/A"/>
    <s v="NO"/>
    <n v="1.3"/>
  </r>
  <r>
    <s v="AT&amp;T"/>
    <n v="25"/>
    <x v="1"/>
    <s v="615-821-7053"/>
    <s v="IPADAMALIA BENOCMO"/>
    <s v="139"/>
    <s v="$7.00"/>
    <m/>
    <s v="$15.00"/>
    <s v="-"/>
    <s v="$3.75"/>
    <s v="-"/>
    <n v="25.75"/>
    <s v="Ipad"/>
    <e v="#N/A"/>
    <e v="#N/A"/>
    <s v="NO"/>
    <n v="25"/>
  </r>
  <r>
    <s v="AT&amp;T"/>
    <n v="25"/>
    <x v="1"/>
    <s v="615-821-8577"/>
    <s v="RENYA VIVAS DSD"/>
    <s v="141"/>
    <s v="$67.47"/>
    <m/>
    <s v="$15.00"/>
    <s v="-"/>
    <s v="$3.75"/>
    <s v="-"/>
    <n v="86.22"/>
    <s v="Iphone"/>
    <e v="#N/A"/>
    <e v="#N/A"/>
    <s v="NO"/>
    <n v="25"/>
  </r>
  <r>
    <s v="AT&amp;T"/>
    <n v="25"/>
    <x v="1"/>
    <s v="615-828-8926"/>
    <s v="LEONARDO PALENCIA SA"/>
    <s v="143"/>
    <s v="-$11.33"/>
    <m/>
    <s v="$35.00"/>
    <s v="$5.00"/>
    <s v="$4.51"/>
    <s v="$2.23"/>
    <n v="35.409999999999997"/>
    <s v="Iphone"/>
    <s v="PALENCIA RODRIGUEZ, LEONARDO R"/>
    <s v="SALES CENTRAL"/>
    <s v="NO"/>
    <n v="25"/>
  </r>
  <r>
    <s v="AT&amp;T"/>
    <n v="25"/>
    <x v="1"/>
    <s v="615-830-4944"/>
    <s v="YULIER PEREZ"/>
    <s v="145"/>
    <s v="-$29.66"/>
    <m/>
    <s v="$35.00"/>
    <s v="-"/>
    <s v="$5.15"/>
    <s v="$2.88"/>
    <n v="13.37"/>
    <s v="Galaxy "/>
    <s v="PEREZ, YULIER"/>
    <s v="LOGISTICS CENTRAL"/>
    <s v="615-830-4944"/>
    <n v="15"/>
  </r>
  <r>
    <s v="AT&amp;T"/>
    <n v="25"/>
    <x v="1"/>
    <s v="615-830-6700"/>
    <s v="NICOLAS QUIJANO 2"/>
    <s v="147"/>
    <s v="-$13.00"/>
    <m/>
    <s v="$35.00"/>
    <s v="-"/>
    <s v="$4.49"/>
    <s v="$2.21"/>
    <n v="28.7"/>
    <s v="Iphone"/>
    <s v="QUIJANO, NICOLAS"/>
    <s v="CFO"/>
    <s v="NO"/>
    <n v="25"/>
  </r>
  <r>
    <s v="AT&amp;T"/>
    <n v="25"/>
    <x v="1"/>
    <s v="615-840-0789"/>
    <s v="NAYRE PEREZ"/>
    <s v="149"/>
    <s v="$0.67"/>
    <m/>
    <s v="$35.00"/>
    <s v="-"/>
    <s v="$9.54"/>
    <s v="$3.78"/>
    <n v="48.99"/>
    <s v="Iphone"/>
    <s v="PEREZ HERNANDEZ, NAYRE"/>
    <s v="SALES CENTRAL"/>
    <s v="615-840-0789"/>
    <n v="15"/>
  </r>
  <r>
    <s v="AT&amp;T"/>
    <n v="25"/>
    <x v="1"/>
    <s v="615-854-5649"/>
    <s v="MARCELA ROA"/>
    <s v="151"/>
    <s v="-$11.33"/>
    <m/>
    <s v="$35.00"/>
    <s v="-"/>
    <s v="$5.15"/>
    <s v="$2.88"/>
    <n v="31.7"/>
    <s v="Iphone"/>
    <s v="ROA, INGRID MARCELA"/>
    <s v="SALES SOUTH"/>
    <s v="615-854-5649"/>
    <n v="15"/>
  </r>
  <r>
    <s v="AT&amp;T"/>
    <n v="25"/>
    <x v="1"/>
    <s v="615-854-5797"/>
    <s v="CAROLINA TORREALBA"/>
    <s v="153"/>
    <s v="-$11.33"/>
    <m/>
    <s v="$35.00"/>
    <s v="-"/>
    <s v="$5.15"/>
    <s v="$2.88"/>
    <n v="31.7"/>
    <s v="Iphone"/>
    <s v="TORREALBA TORRES, CAROLINA"/>
    <s v="SALES WEST"/>
    <s v="615-854-5797"/>
    <n v="15"/>
  </r>
  <r>
    <s v="AT&amp;T"/>
    <n v="25"/>
    <x v="1"/>
    <s v="615-862-1976"/>
    <s v="JORGE TENGREDI"/>
    <s v="155"/>
    <s v="-$29.66"/>
    <m/>
    <s v="$35.00"/>
    <s v="-"/>
    <s v="$5.15"/>
    <s v="$2.88"/>
    <n v="13.37"/>
    <s v="Galaxy "/>
    <s v="TANGREDI, JORGE"/>
    <s v="LOGISTICS CENTRAL"/>
    <s v="615-862-1976"/>
    <n v="15"/>
  </r>
  <r>
    <s v="AT&amp;T"/>
    <n v="25"/>
    <x v="1"/>
    <s v="615-862-9402"/>
    <s v="RUDY BAHENA LG"/>
    <s v="157"/>
    <s v="-$11.33"/>
    <m/>
    <s v="$35.00"/>
    <s v="-"/>
    <s v="$4.51"/>
    <s v="$2.23"/>
    <n v="30.41"/>
    <s v="Galaxy"/>
    <s v="BAHENA, RUDY"/>
    <s v="LOGISTICS WEST"/>
    <s v="NO"/>
    <n v="25"/>
  </r>
  <r>
    <s v="AT&amp;T"/>
    <n v="25"/>
    <x v="1"/>
    <s v="615-878-0405"/>
    <s v="LUIS PARADA"/>
    <s v="159"/>
    <s v="-$11.33"/>
    <m/>
    <s v="$35.00"/>
    <s v="-"/>
    <s v="$5.15"/>
    <s v="$2.88"/>
    <n v="31.7"/>
    <s v="Samsung"/>
    <e v="#N/A"/>
    <e v="#N/A"/>
    <s v="615-878-0405"/>
    <n v="15"/>
  </r>
  <r>
    <s v="AT&amp;T"/>
    <n v="25"/>
    <x v="1"/>
    <s v="615-879-8762"/>
    <s v="ANDRES FUENMAYOR"/>
    <s v="161"/>
    <s v="-$29.66"/>
    <m/>
    <s v="$35.00"/>
    <s v="-"/>
    <s v="$5.15"/>
    <s v="$2.88"/>
    <n v="13.37"/>
    <s v="Galaxy "/>
    <s v="FUENMAYOR, ANDRES"/>
    <s v="LOGISTICS CENTRAL"/>
    <s v="615-879-8762"/>
    <n v="15"/>
  </r>
  <r>
    <s v="AT&amp;T"/>
    <n v="25"/>
    <x v="1"/>
    <s v="615-906-5129"/>
    <s v="RUDY BAHENA"/>
    <s v="163"/>
    <s v="-$29.66"/>
    <m/>
    <s v="$35.00"/>
    <s v="-"/>
    <s v="$5.15"/>
    <s v="$2.88"/>
    <n v="13.37"/>
    <s v="Galaxy "/>
    <s v="BAHENA, RUDY"/>
    <s v="LOGISTICS WEST"/>
    <s v="615-906-5129"/>
    <n v="15"/>
  </r>
  <r>
    <s v="AT&amp;T"/>
    <n v="25"/>
    <x v="1"/>
    <s v="615-939-6293"/>
    <s v="GABRIEL NASHVILLE"/>
    <s v="165"/>
    <s v="-$36.50"/>
    <m/>
    <s v="-"/>
    <s v="-"/>
    <s v="-$0.41"/>
    <s v="-$0.41"/>
    <n v="-37.32"/>
    <s v="Samsung"/>
    <e v="#N/A"/>
    <e v="#N/A"/>
    <s v="NO"/>
    <n v="-37.32"/>
  </r>
  <r>
    <s v="AT&amp;T"/>
    <n v="25"/>
    <x v="1"/>
    <s v="615-939-8241"/>
    <s v="ALBERT CARDOZO"/>
    <s v="167"/>
    <s v="-$11.33"/>
    <m/>
    <s v="$35.00"/>
    <s v="-"/>
    <s v="$5.15"/>
    <s v="$2.88"/>
    <n v="31.7"/>
    <s v="Iphone"/>
    <s v="CARDOZO, ALBERT YVAN"/>
    <s v="SALES RITEFILL DSD CENTRAL"/>
    <s v="615-939-8241"/>
    <n v="15"/>
  </r>
  <r>
    <s v="AT&amp;T"/>
    <n v="25"/>
    <x v="1"/>
    <s v="615-939-9582"/>
    <s v="EDWIN GONZALEZ"/>
    <s v="169"/>
    <s v="-$11.33"/>
    <m/>
    <s v="$35.00"/>
    <s v="-"/>
    <s v="$4.51"/>
    <s v="$2.23"/>
    <n v="30.41"/>
    <s v="Galaxy"/>
    <s v="CASTILLO DUARTE, JOSE EDUARDO"/>
    <s v="Finance"/>
    <s v="NO"/>
    <n v="25"/>
  </r>
  <r>
    <s v="AT&amp;T"/>
    <n v="25"/>
    <x v="1"/>
    <s v="615-944-5380"/>
    <s v="LEONARDO PALENCIA I..."/>
    <s v="171"/>
    <s v="$12.00"/>
    <m/>
    <s v="$15.00"/>
    <s v="-"/>
    <s v="$3.75"/>
    <s v="-"/>
    <n v="30.75"/>
    <s v="Ipad"/>
    <s v="PALENCIA RODRIGUEZ, LEONARDO R"/>
    <s v="SALES CENTRAL"/>
    <s v="NO"/>
    <n v="25"/>
  </r>
  <r>
    <s v="AT&amp;T"/>
    <n v="25"/>
    <x v="1"/>
    <s v="615-945-4365"/>
    <s v="IVAN TELLO IPAD"/>
    <s v="173"/>
    <s v="$12.00"/>
    <m/>
    <s v="$15.00"/>
    <s v="-"/>
    <s v="$3.75"/>
    <s v="-"/>
    <n v="30.75"/>
    <s v="Ipad"/>
    <s v="TELLO, IVAN E"/>
    <s v="SALES CENTRAL"/>
    <s v="NO"/>
    <n v="25"/>
  </r>
  <r>
    <s v="AT&amp;T"/>
    <n v="25"/>
    <x v="1"/>
    <s v="615-961-5944"/>
    <s v="JOSE BURGOS"/>
    <s v="175"/>
    <s v="-$11.33"/>
    <m/>
    <s v="$35.00"/>
    <s v="-"/>
    <s v="$5.15"/>
    <s v="$2.88"/>
    <n v="31.7"/>
    <s v="Iphone"/>
    <s v="SILVA, ELISA"/>
    <s v="SALES WEST"/>
    <s v="615-961-5944"/>
    <n v="15"/>
  </r>
  <r>
    <s v="AT&amp;T"/>
    <n v="25"/>
    <x v="1"/>
    <s v="615-967-4046"/>
    <s v="AUGUSTO IPAD"/>
    <s v="177"/>
    <s v="$14.00"/>
    <m/>
    <s v="$15.00"/>
    <s v="-"/>
    <s v="$3.75"/>
    <s v="-"/>
    <n v="32.75"/>
    <s v="Ipad"/>
    <s v="RIOS BLANDON, AUGUSTO C"/>
    <s v="SALES NORTH"/>
    <s v="NO"/>
    <n v="25"/>
  </r>
  <r>
    <s v="AT&amp;T"/>
    <n v="25"/>
    <x v="1"/>
    <s v="615-969-5642"/>
    <s v="KARLA SOLIS"/>
    <s v="179"/>
    <s v="-$11.33"/>
    <m/>
    <s v="$35.00"/>
    <s v="-"/>
    <s v="$4.51"/>
    <s v="$2.23"/>
    <n v="30.41"/>
    <s v="Iphone"/>
    <s v="SOLIS SAN ANDRES, KARLA G"/>
    <s v="SALES WEST"/>
    <s v="NO"/>
    <n v="25"/>
  </r>
  <r>
    <s v="AT&amp;T"/>
    <n v="25"/>
    <x v="1"/>
    <s v="615-984-9515"/>
    <s v="DILVER GARCIA IPAD"/>
    <s v="181"/>
    <s v="$2.00"/>
    <m/>
    <s v="$15.00"/>
    <s v="-"/>
    <s v="$3.75"/>
    <s v="-"/>
    <n v="20.75"/>
    <e v="#N/A"/>
    <e v="#N/A"/>
    <e v="#N/A"/>
    <s v="NO"/>
    <n v="25"/>
  </r>
  <r>
    <s v="AT&amp;T"/>
    <n v="25"/>
    <x v="1"/>
    <s v="629-239-0377"/>
    <s v="CARMEN LONGA LG"/>
    <s v="183"/>
    <s v="-$11.33"/>
    <m/>
    <s v="$35.00"/>
    <s v="-"/>
    <s v="$4.51"/>
    <s v="$2.23"/>
    <n v="30.41"/>
    <s v="Iphone"/>
    <s v="LONGA, CARMEN B"/>
    <s v="LOGISTICS WEST"/>
    <s v="NO"/>
    <n v="25"/>
  </r>
  <r>
    <s v="AT&amp;T"/>
    <n v="25"/>
    <x v="1"/>
    <s v="629-239-0999"/>
    <s v="JOSE LUCIO"/>
    <s v="185"/>
    <s v="-$11.33"/>
    <m/>
    <s v="$35.00"/>
    <s v="-"/>
    <s v="$5.15"/>
    <s v="$2.88"/>
    <n v="31.7"/>
    <s v="Iphone"/>
    <s v="LUCIO FLORES, JOSE ANGEL"/>
    <s v="SALES NORTH"/>
    <s v="629-239-0999"/>
    <n v="15"/>
  </r>
  <r>
    <s v="AT&amp;T"/>
    <n v="25"/>
    <x v="1"/>
    <s v="629-256-6967"/>
    <s v="YNGEL GUTIERREZ"/>
    <s v="187"/>
    <s v="-$15.00"/>
    <m/>
    <s v="$15.00"/>
    <s v="-"/>
    <s v="$3.75"/>
    <s v="-"/>
    <n v="3.75"/>
    <s v="Ipad"/>
    <s v="GUTIERREZ TOVAR, YNGEL J"/>
    <s v="SALES CENTRAL"/>
    <s v="NO"/>
    <n v="25"/>
  </r>
  <r>
    <s v="AT&amp;T"/>
    <n v="25"/>
    <x v="1"/>
    <s v="629-256-9168"/>
    <s v="YNGEL GUTIERREZ"/>
    <s v="189"/>
    <s v="-$11.33"/>
    <m/>
    <s v="$35.00"/>
    <s v="-"/>
    <s v="$5.15"/>
    <s v="$2.88"/>
    <n v="31.7"/>
    <s v="Iphone"/>
    <s v="GUTIERREZ TOVAR, YNGEL J"/>
    <s v="SALES CENTRAL"/>
    <s v="629-256-9168"/>
    <n v="15"/>
  </r>
  <r>
    <s v="AT&amp;T"/>
    <n v="25"/>
    <x v="1"/>
    <s v="629-264-3070"/>
    <s v="RICARDO BRITO HR"/>
    <s v="191"/>
    <s v="-$11.33"/>
    <m/>
    <s v="$35.00"/>
    <s v="-"/>
    <s v="$4.51"/>
    <s v="$2.23"/>
    <n v="30.41"/>
    <s v="Iphone"/>
    <s v="BRITO SALAZAR, RICARDO JOSE"/>
    <s v="HR"/>
    <s v="NO"/>
    <n v="25"/>
  </r>
  <r>
    <s v="AT&amp;T"/>
    <n v="25"/>
    <x v="1"/>
    <s v="629-285-9899"/>
    <s v="MIGUEL ZUBILLAGA"/>
    <s v="193"/>
    <s v="-$11.33"/>
    <m/>
    <s v="$35.00"/>
    <s v="$20.00"/>
    <s v="$4.51"/>
    <s v="$2.23"/>
    <n v="50.41"/>
    <s v="Iphone"/>
    <s v="LODYGENSKY, ISABELE"/>
    <s v="Corpotative ESG 110002"/>
    <s v="NO"/>
    <n v="25"/>
  </r>
  <r>
    <s v="AT&amp;T"/>
    <n v="25"/>
    <x v="1"/>
    <s v="629-318-8877"/>
    <s v="IPADALA BAMADSD"/>
    <s v="195"/>
    <s v="$12.50"/>
    <m/>
    <s v="$15.00"/>
    <s v="-"/>
    <s v="$3.75"/>
    <s v="-"/>
    <n v="31.25"/>
    <s v="Ipad"/>
    <n v="0"/>
    <s v="SALES RITEFILL DSD SOUTH"/>
    <s v="NO"/>
    <n v="25"/>
  </r>
  <r>
    <s v="AT&amp;T"/>
    <n v="25"/>
    <x v="1"/>
    <s v="629-318-9009"/>
    <s v="IPAD DE NACOMY"/>
    <s v="197"/>
    <s v="-$3.50"/>
    <m/>
    <s v="$10.00"/>
    <s v="-"/>
    <s v="-"/>
    <s v="-"/>
    <n v="6.5"/>
    <s v="Ipad"/>
    <e v="#N/A"/>
    <e v="#N/A"/>
    <s v="NO"/>
    <n v="25"/>
  </r>
  <r>
    <s v="AT&amp;T"/>
    <n v="25"/>
    <x v="1"/>
    <s v="629-318-9109"/>
    <s v="IPADREYNA VIVASDSD"/>
    <s v="199"/>
    <s v="$10.50"/>
    <m/>
    <s v="$15.00"/>
    <s v="-"/>
    <s v="$3.75"/>
    <s v="-"/>
    <n v="29.25"/>
    <s v="Ipad"/>
    <s v="VIVAS, REYNA E"/>
    <s v="SALES RITEFILL DSD WEST"/>
    <s v="NO"/>
    <n v="25"/>
  </r>
  <r>
    <s v="AT&amp;T"/>
    <n v="25"/>
    <x v="1"/>
    <s v="629-345-1182"/>
    <s v="ROSMARY LA CRUZ IPA..."/>
    <s v="201"/>
    <s v="$12.00"/>
    <m/>
    <s v="$15.00"/>
    <s v="-"/>
    <s v="$3.75"/>
    <s v="-"/>
    <n v="30.75"/>
    <s v="Ipad"/>
    <s v="LACRUZ, ROSMARY"/>
    <s v="SALES WEST"/>
    <s v="NO"/>
    <n v="25"/>
  </r>
  <r>
    <s v="AT&amp;T"/>
    <n v="25"/>
    <x v="1"/>
    <s v="629-345-1381"/>
    <s v="IPHONE 14"/>
    <s v="203"/>
    <s v="-$2.33"/>
    <m/>
    <s v="$35.00"/>
    <s v="$1.82"/>
    <s v="$4.85"/>
    <s v="$2.56"/>
    <n v="41.9"/>
    <s v="Iphone"/>
    <s v="RIVERO, LUIS MARIANO"/>
    <s v="SALES CENTRAL"/>
    <s v="NO"/>
    <n v="25"/>
  </r>
  <r>
    <s v="AT&amp;T"/>
    <n v="25"/>
    <x v="1"/>
    <s v="629-345-1574"/>
    <s v="IPAD DISTRIBUIDORA ..."/>
    <s v="205"/>
    <s v="$12.00"/>
    <m/>
    <s v="$15.00"/>
    <s v="$12.78"/>
    <s v="$3.75"/>
    <s v="-"/>
    <n v="43.53"/>
    <s v="Ipad"/>
    <s v="RIVERO, LUIS MARIANO"/>
    <s v="SALES CENTRAL"/>
    <s v="NO"/>
    <n v="25"/>
  </r>
  <r>
    <s v="AT&amp;T"/>
    <n v="25"/>
    <x v="1"/>
    <s v="629-345-1642"/>
    <s v="IPHONE 14"/>
    <s v="207"/>
    <s v="-$2.33"/>
    <m/>
    <s v="$35.00"/>
    <s v="$1.82"/>
    <s v="$4.85"/>
    <s v="$2.56"/>
    <n v="41.9"/>
    <s v="Iphone"/>
    <s v="CALDERON, PILAR ESTRADA"/>
    <s v="MERCHANDISER SOUTH"/>
    <s v="NO"/>
    <n v="25"/>
  </r>
  <r>
    <s v="AT&amp;T"/>
    <n v="25"/>
    <x v="1"/>
    <s v="629-345-1645"/>
    <s v="RADDY GARCIA SA"/>
    <s v="209"/>
    <s v="-$2.33"/>
    <m/>
    <s v="$35.00"/>
    <s v="$1.82"/>
    <s v="$4.85"/>
    <s v="$2.56"/>
    <n v="41.9"/>
    <s v="Iphone"/>
    <s v="GARCIA, RADDY"/>
    <s v="SALES NORTH"/>
    <s v="NO"/>
    <n v="25"/>
  </r>
  <r>
    <s v="AT&amp;T"/>
    <n v="25"/>
    <x v="1"/>
    <s v="629-345-1705"/>
    <s v="IPAD DISTRIBUIDORA ..."/>
    <s v="211"/>
    <s v="$12.00"/>
    <m/>
    <s v="$15.00"/>
    <s v="$12.78"/>
    <s v="$3.75"/>
    <s v="-"/>
    <n v="43.53"/>
    <s v="Ipad"/>
    <s v="CALDERON, PILAR ESTRADA"/>
    <s v="MERCHANDISER SOUTH"/>
    <s v="NO"/>
    <n v="25"/>
  </r>
  <r>
    <s v="AT&amp;T"/>
    <n v="25"/>
    <x v="1"/>
    <s v="629-345-1728"/>
    <s v="IPAD DISTRIBUIDORA ..."/>
    <s v="213"/>
    <s v="$12.00"/>
    <m/>
    <s v="$15.00"/>
    <s v="$12.78"/>
    <s v="$3.75"/>
    <s v="-"/>
    <n v="43.53"/>
    <s v="Ipad"/>
    <s v="GARCIA, RADDY"/>
    <s v="SALES NORTH"/>
    <s v="NO"/>
    <n v="25"/>
  </r>
  <r>
    <s v="AT&amp;T"/>
    <n v="25"/>
    <x v="1"/>
    <s v="629-468-1066"/>
    <s v="REPLACEMENT LOST PHONE"/>
    <s v="215"/>
    <s v="-$35.00"/>
    <m/>
    <s v="-"/>
    <s v="$5.99"/>
    <s v="-$0.47"/>
    <s v="-$0.46"/>
    <n v="-29.94"/>
    <s v="Samsung"/>
    <e v="#N/A"/>
    <e v="#N/A"/>
    <s v="NO"/>
    <n v="-29.94"/>
  </r>
  <r>
    <s v="AT&amp;T"/>
    <n v="25"/>
    <x v="1"/>
    <s v="629-468-8256"/>
    <s v="MARANGELIE RIVERA"/>
    <s v="217"/>
    <s v="-$11.33"/>
    <m/>
    <s v="$35.00"/>
    <s v="-"/>
    <s v="$4.51"/>
    <s v="$2.23"/>
    <n v="30.41"/>
    <n v="0"/>
    <s v="VIVAS, REYNA E"/>
    <s v="SALES RITEFILL DSD WEST"/>
    <s v="NO"/>
    <n v="25"/>
  </r>
  <r>
    <s v="AT&amp;T"/>
    <n v="25"/>
    <x v="1"/>
    <s v="629-729-3287"/>
    <s v="IPAD RAFAEL CHANCHA..."/>
    <s v="219"/>
    <s v="$12.00"/>
    <m/>
    <s v="$15.00"/>
    <s v="-"/>
    <s v="$3.75"/>
    <m/>
    <n v="30.75"/>
    <s v="Ipad"/>
    <s v="CHANCHAMIRE, RAFAEL A"/>
    <s v="SALES WEST"/>
    <s v="NO"/>
    <n v="25"/>
  </r>
  <r>
    <s v="AT&amp;T"/>
    <n v="25"/>
    <x v="1"/>
    <s v="629-729-3294"/>
    <s v="IPAD EDILIA SHINE"/>
    <s v="221"/>
    <s v="$12.00"/>
    <m/>
    <s v="$15.00"/>
    <s v="-"/>
    <s v="$3.75"/>
    <m/>
    <n v="30.75"/>
    <s v="Ipad"/>
    <s v="SHINE, EDILIA D"/>
    <s v="SALES NORTH"/>
    <s v="NO"/>
    <n v="25"/>
  </r>
  <r>
    <s v="AT&amp;T"/>
    <n v="25"/>
    <x v="1"/>
    <s v="659-268-2242"/>
    <s v="DSD IPHONE ALABAMA"/>
    <s v="223"/>
    <s v="$10.83"/>
    <m/>
    <s v="$25.00"/>
    <s v="-"/>
    <s v="$4.67"/>
    <s v="$4.66"/>
    <n v="45.16"/>
    <s v="Iphone"/>
    <e v="#N/A"/>
    <e v="#N/A"/>
    <s v="NO"/>
    <n v="25"/>
  </r>
  <r>
    <s v="AT&amp;T"/>
    <n v="25"/>
    <x v="1"/>
    <s v="678-477-4654"/>
    <s v="IPAD SALES"/>
    <s v="225"/>
    <s v="-$4.50"/>
    <m/>
    <s v="$15.00"/>
    <s v="-"/>
    <s v="$3.75"/>
    <m/>
    <n v="14.25"/>
    <s v="no aplica"/>
    <s v="IPAD SALES"/>
    <s v="ATLANTA"/>
    <s v="NO"/>
    <n v="25"/>
  </r>
  <r>
    <s v="AT&amp;T"/>
    <n v="25"/>
    <x v="1"/>
    <s v="678-579-7572"/>
    <s v="GABRIEL ABOUKHEIR"/>
    <s v="227"/>
    <s v="-$13.00"/>
    <m/>
    <s v="$35.00"/>
    <s v="-"/>
    <s v="$4.49"/>
    <s v="$2.10"/>
    <n v="28.59"/>
    <s v="no aplica"/>
    <s v="GABRIEL ABOUK..."/>
    <s v="ATLANTA"/>
    <s v="NO"/>
    <n v="25"/>
  </r>
  <r>
    <s v="AT&amp;T"/>
    <n v="25"/>
    <x v="1"/>
    <s v="678-748-6121"/>
    <s v="GUSTAVO MORILLO"/>
    <s v="229"/>
    <s v="-$13.00"/>
    <m/>
    <s v="$35.00"/>
    <s v="-"/>
    <s v="$4.49"/>
    <s v="$2.10"/>
    <n v="28.59"/>
    <s v="no aplica"/>
    <s v="GUSTAVO MORILLO"/>
    <s v="ATLANTA"/>
    <s v="NO"/>
    <n v="25"/>
  </r>
  <r>
    <s v="AT&amp;T"/>
    <n v="25"/>
    <x v="1"/>
    <s v="678-906-8991"/>
    <s v="ROSALINA SOCORRO"/>
    <s v="231"/>
    <s v="-$13.00"/>
    <m/>
    <s v="$35.00"/>
    <s v="-"/>
    <s v="$4.49"/>
    <s v="$2.10"/>
    <n v="28.59"/>
    <s v="no aplica"/>
    <s v="ROSALINA SOCORRO"/>
    <s v="ATLANTA"/>
    <s v="NO"/>
    <n v="25"/>
  </r>
  <r>
    <s v="AT&amp;T"/>
    <n v="25"/>
    <x v="1"/>
    <s v="678-925-1523"/>
    <s v="IPAD SALES"/>
    <s v="233"/>
    <s v="-$4.50"/>
    <m/>
    <s v="$15.00"/>
    <s v="-"/>
    <s v="$3.75"/>
    <m/>
    <n v="14.25"/>
    <s v="no aplica"/>
    <s v="IPAD SALES"/>
    <s v="ATLANTA"/>
    <s v="NO"/>
    <n v="25"/>
  </r>
  <r>
    <s v="AT&amp;T"/>
    <n v="25"/>
    <x v="1"/>
    <s v="678-925-4534"/>
    <s v="ABIGAIL QUINTERO"/>
    <s v="235"/>
    <s v="-$13.00"/>
    <m/>
    <s v="$35.00"/>
    <s v="-"/>
    <s v="$4.49"/>
    <s v="$2.10"/>
    <n v="28.59"/>
    <s v="no aplica"/>
    <s v="ABIGAIL QUINTERO"/>
    <s v="ATLANTA"/>
    <s v="NO"/>
    <n v="25"/>
  </r>
  <r>
    <s v="AT&amp;T"/>
    <n v="25"/>
    <x v="1"/>
    <s v="678-925-6858"/>
    <s v="IPAD SALES"/>
    <s v="237"/>
    <s v="-$4.50"/>
    <m/>
    <s v="$15.00"/>
    <s v="-"/>
    <s v="$3.75"/>
    <m/>
    <n v="14.25"/>
    <s v="no aplica"/>
    <s v="IPAD SALES"/>
    <s v="ATLANTA"/>
    <s v="NO"/>
    <n v="25"/>
  </r>
  <r>
    <s v="AT&amp;T"/>
    <n v="25"/>
    <x v="1"/>
    <s v="859-321-3539"/>
    <s v="ESMERALDA WILSON"/>
    <s v="239"/>
    <s v="-$11.33"/>
    <m/>
    <s v="$35.00"/>
    <s v="-"/>
    <s v="$5.15"/>
    <s v="$2.88"/>
    <n v="31.7"/>
    <s v="Iphone"/>
    <e v="#N/A"/>
    <e v="#N/A"/>
    <s v="859-321-3539"/>
    <n v="15"/>
  </r>
  <r>
    <s v="AT&amp;T"/>
    <n v="25"/>
    <x v="1"/>
    <s v="865-334-0516"/>
    <s v="FABIOLA ROJAS MER"/>
    <s v="241"/>
    <s v="-$11.33"/>
    <m/>
    <s v="$35.00"/>
    <s v="$5.00"/>
    <s v="$4.51"/>
    <s v="$2.23"/>
    <n v="35.409999999999997"/>
    <s v="Iphone"/>
    <s v="ROJAS, FABIOLA V"/>
    <s v="MERCHANDISER CENTRAL"/>
    <s v="NO"/>
    <n v="25"/>
  </r>
  <r>
    <s v="AT&amp;T"/>
    <n v="25"/>
    <x v="1"/>
    <s v="865-396-3526"/>
    <s v="CARLOS VELIZ"/>
    <s v="243"/>
    <s v="-$11.33"/>
    <m/>
    <s v="$35.00"/>
    <s v="-"/>
    <s v="$5.15"/>
    <s v="$2.88"/>
    <n v="31.7"/>
    <s v="Iphone"/>
    <s v="VELIZ, CARLOS A"/>
    <s v="SALES CENTRAL"/>
    <s v="865-396-3526"/>
    <n v="15"/>
  </r>
  <r>
    <s v="AT&amp;T"/>
    <n v="25"/>
    <x v="1"/>
    <s v="865-396-3528"/>
    <s v="CARLOS VELIZ SA"/>
    <s v="245"/>
    <s v="-$15.00"/>
    <m/>
    <s v="$15.00"/>
    <s v="-"/>
    <s v="$3.75"/>
    <m/>
    <n v="3.75"/>
    <s v="Ipad"/>
    <s v="VELIZ, CARLOS A"/>
    <s v="SALES CENTRAL"/>
    <s v="NO"/>
    <n v="25"/>
  </r>
  <r>
    <s v="AT&amp;T"/>
    <n v="25"/>
    <x v="1"/>
    <s v="901-275-5428"/>
    <s v="VERUUZKO RODRIGUEZ"/>
    <s v="247"/>
    <s v="-$11.33"/>
    <m/>
    <s v="$35.00"/>
    <s v="-"/>
    <s v="$5.15"/>
    <s v="$2.88"/>
    <n v="31.7"/>
    <s v="Iphone"/>
    <s v="RODRIGUEZ, VERUUZKO"/>
    <s v="SALES CENTRAL"/>
    <s v="901-275-5428"/>
    <n v="15"/>
  </r>
  <r>
    <s v="AT&amp;T"/>
    <n v="25"/>
    <x v="1"/>
    <s v="901-410-6734"/>
    <s v="SANTIAGO MEMPHIS"/>
    <s v="249"/>
    <s v="-$11.33"/>
    <m/>
    <s v="$35.00"/>
    <s v="-"/>
    <s v="$4.51"/>
    <s v="$2.23"/>
    <n v="30.41"/>
    <s v="Galaxy"/>
    <s v="RODRIGUEZ SR, CHRISTIAN MICHEAL"/>
    <s v="LOGISTIC SOUTH"/>
    <s v="NO"/>
    <n v="25"/>
  </r>
  <r>
    <s v="AT&amp;T"/>
    <n v="25"/>
    <x v="1"/>
    <s v="901-427-2093"/>
    <s v="ANDRES SUAREZ"/>
    <s v="251"/>
    <s v="-$29.66"/>
    <m/>
    <s v="$35.00"/>
    <s v="-"/>
    <s v="$5.15"/>
    <s v="$2.88"/>
    <n v="13.37"/>
    <s v="Galaxy "/>
    <s v="SUAREZ, ANDRES E"/>
    <s v="LOGISTICS CENTRAL"/>
    <s v="901-427-2093"/>
    <n v="15"/>
  </r>
  <r>
    <s v="AT&amp;T"/>
    <n v="25"/>
    <x v="1"/>
    <s v="901-456-2279"/>
    <s v="CARLOS PEREZ"/>
    <s v="253"/>
    <s v="-$35.00"/>
    <m/>
    <s v="-"/>
    <s v="$5.00"/>
    <s v="-$0.47"/>
    <s v="-$0.46"/>
    <n v="-30.93"/>
    <s v="Iphone"/>
    <e v="#N/A"/>
    <e v="#N/A"/>
    <s v="NO"/>
    <n v="-30.93"/>
  </r>
  <r>
    <s v="AT&amp;T"/>
    <n v="25"/>
    <x v="1"/>
    <s v="901-464-6471"/>
    <s v="HELEN MADRIGAL"/>
    <s v="255"/>
    <s v="-$7.83"/>
    <m/>
    <s v="$35.00"/>
    <s v="-$0.79"/>
    <s v="$4.83"/>
    <s v="$2.54"/>
    <n v="33.75"/>
    <s v="Iphone"/>
    <s v="MADRIGAL GARCIA, HELEN C"/>
    <s v="SALES NORTH"/>
    <s v="NO"/>
    <n v="25"/>
  </r>
  <r>
    <s v="AT&amp;T"/>
    <n v="25"/>
    <x v="1"/>
    <s v="901-467-5902"/>
    <s v="HELEN MADRIGAL IPAD SA"/>
    <s v="257"/>
    <s v="$12.00"/>
    <m/>
    <s v="$15.00"/>
    <s v="-"/>
    <s v="$3.75"/>
    <m/>
    <n v="30.75"/>
    <s v="Ipad"/>
    <s v="MADRIGAL GARCIA, HELEN C"/>
    <s v="SALES NORTH"/>
    <s v="NO"/>
    <n v="25"/>
  </r>
  <r>
    <s v="AT&amp;T"/>
    <n v="25"/>
    <x v="1"/>
    <s v="901-500-6953"/>
    <s v="CESAR RODRIGUEZ KY"/>
    <s v="259"/>
    <s v="-$29.66"/>
    <m/>
    <s v="$35.00"/>
    <s v="-"/>
    <s v="$5.15"/>
    <s v="$2.88"/>
    <n v="13.37"/>
    <s v="Galaxy "/>
    <s v="RODRIGUEZ MELENDEZ, CESAR ANIBAL"/>
    <s v="LOGISTICS NORTH"/>
    <s v="901-500-6953"/>
    <n v="15"/>
  </r>
  <r>
    <s v="AT&amp;T"/>
    <n v="25"/>
    <x v="1"/>
    <s v="901-581-6397"/>
    <s v="JOSEFINA AVALOS SA"/>
    <s v="261"/>
    <s v="-$11.33"/>
    <m/>
    <s v="$35.00"/>
    <s v="-"/>
    <s v="$4.51"/>
    <s v="$2.23"/>
    <n v="30.41"/>
    <s v="Iphone"/>
    <s v="AVALOS, JOSEFINA"/>
    <s v="SALES WEST"/>
    <s v="NO"/>
    <n v="25"/>
  </r>
  <r>
    <s v="AT&amp;T"/>
    <n v="25"/>
    <x v="1"/>
    <s v="901-585-9984"/>
    <s v="LUIS DE LA TORRE"/>
    <s v="263"/>
    <s v="-$29.66"/>
    <m/>
    <s v="$35.00"/>
    <s v="-"/>
    <s v="$5.15"/>
    <s v="$2.88"/>
    <n v="13.37"/>
    <s v="Galaxy "/>
    <s v="DE LA TORRE, LUIS G"/>
    <s v="LOGISTICS WEST"/>
    <s v="901-585-9984"/>
    <n v="15"/>
  </r>
  <r>
    <s v="AT&amp;T"/>
    <n v="25"/>
    <x v="1"/>
    <s v="901-607-5291"/>
    <s v="BENY CORPUS"/>
    <s v="265"/>
    <m/>
    <n v="6.34"/>
    <s v="$35.00"/>
    <s v="-"/>
    <s v="$18.33"/>
    <s v="$5.58"/>
    <n v="65.25"/>
    <s v="Galaxy "/>
    <s v="CORPUS, BENY A"/>
    <s v="LOGISTICS CENTRAL"/>
    <s v="901-607-5291"/>
    <n v="15"/>
  </r>
  <r>
    <s v="AT&amp;T"/>
    <n v="25"/>
    <x v="1"/>
    <s v="901-649-5850"/>
    <s v="RAFAEL CHANCHAMIRE SA"/>
    <s v="267"/>
    <s v="-$11.33"/>
    <m/>
    <s v="$35.00"/>
    <s v="$5.99"/>
    <s v="$4.51"/>
    <s v="$2.23"/>
    <n v="36.4"/>
    <s v="Iphone"/>
    <s v="CHANCHAMIRE, RAFAEL A"/>
    <s v="SALES WEST"/>
    <s v="NO"/>
    <n v="25"/>
  </r>
  <r>
    <s v="AT&amp;T"/>
    <n v="25"/>
    <x v="1"/>
    <s v="901-713-7796"/>
    <s v="ANA CAROLINA FERRERIA"/>
    <s v="269"/>
    <s v="-$18.67"/>
    <m/>
    <s v="$50.00"/>
    <s v="-"/>
    <s v="$4.22"/>
    <s v="$1.92"/>
    <n v="37.47"/>
    <s v="Iphone"/>
    <s v="FERREIRA, ANA CAROLINA"/>
    <s v="MERCHANDISER WEST"/>
    <s v="901-713-7796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x v="0"/>
    <n v="25"/>
    <x v="0"/>
    <s v="629-345-1381"/>
    <s v="IPHONE 14"/>
    <n v="13"/>
    <n v="-4.17"/>
    <n v="45"/>
    <n v="5.99"/>
    <n v="4.3600000000000003"/>
    <n v="2.08"/>
    <n v="53.26"/>
    <n v="53.26"/>
    <s v="Iphone"/>
    <s v="RIVERO, LUIS MARIANO"/>
    <s v="SALES CENTRAL"/>
    <s v="NO"/>
    <n v="25"/>
  </r>
  <r>
    <x v="0"/>
    <n v="25"/>
    <x v="0"/>
    <s v="629-345-1642"/>
    <s v="IPHONE 14"/>
    <n v="15"/>
    <n v="-4.17"/>
    <n v="45"/>
    <n v="5.99"/>
    <n v="4.3600000000000003"/>
    <n v="2.08"/>
    <n v="53.26"/>
    <n v="53.26"/>
    <s v="Iphone"/>
    <s v="CALDERON, PILAR ESTRADA"/>
    <s v="MERCHANDISER SOUTH"/>
    <s v="NO"/>
    <n v="25"/>
  </r>
  <r>
    <x v="0"/>
    <n v="25"/>
    <x v="0"/>
    <s v="629-345-1645"/>
    <s v="RADDY GARCIA SA"/>
    <n v="17"/>
    <n v="-4.17"/>
    <n v="45"/>
    <n v="5.99"/>
    <n v="4.3600000000000003"/>
    <n v="2.08"/>
    <n v="53.26"/>
    <n v="53.26"/>
    <s v="Iphone"/>
    <s v="GARCIA, RADDY"/>
    <s v="SALES NORTH"/>
    <s v="NO"/>
    <n v="25"/>
  </r>
  <r>
    <x v="0"/>
    <n v="25"/>
    <x v="0"/>
    <s v="678-477-4654"/>
    <s v="IPAD SALES"/>
    <n v="19"/>
    <n v="-5"/>
    <n v="20"/>
    <s v="-"/>
    <n v="3.75"/>
    <s v="-"/>
    <n v="18.75"/>
    <n v="18.75"/>
    <s v="no aplica"/>
    <s v="IPAD SALES"/>
    <s v="ATLANTA"/>
    <s v="NO"/>
    <n v="25"/>
  </r>
  <r>
    <x v="0"/>
    <n v="25"/>
    <x v="0"/>
    <s v="678-925-1523"/>
    <s v="IPAD SALES"/>
    <n v="21"/>
    <n v="-5"/>
    <n v="20"/>
    <s v="-"/>
    <n v="3.75"/>
    <s v="-"/>
    <n v="18.75"/>
    <n v="18.75"/>
    <s v="no aplica"/>
    <s v="IPAD SALES"/>
    <s v="ATLANTA"/>
    <s v="NO"/>
    <n v="25"/>
  </r>
  <r>
    <x v="0"/>
    <n v="25"/>
    <x v="0"/>
    <s v="678-925-6858"/>
    <s v="IPAD SALES"/>
    <n v="23"/>
    <n v="-5"/>
    <n v="20"/>
    <s v="-"/>
    <n v="3.75"/>
    <s v="-"/>
    <n v="18.75"/>
    <n v="18.75"/>
    <s v="no aplica"/>
    <s v="IPAD SALES"/>
    <s v="ATLANTA"/>
    <s v="NO"/>
    <n v="25"/>
  </r>
  <r>
    <x v="0"/>
    <n v="25"/>
    <x v="0"/>
    <s v="901-464-6471"/>
    <s v="HELEN MADRIGAL"/>
    <n v="25"/>
    <s v="-"/>
    <n v="50"/>
    <n v="-0.79"/>
    <n v="4.4000000000000004"/>
    <n v="2.12"/>
    <n v="55.73"/>
    <n v="55.73"/>
    <s v="Iphone"/>
    <s v="MADRIGAL GARCIA, HELEN C"/>
    <s v="SALES NORTH"/>
    <s v="NO"/>
    <n v="25"/>
  </r>
  <r>
    <x v="0"/>
    <n v="25"/>
    <x v="0"/>
    <s v="615-474-6646"/>
    <s v="JOHAN MADRIZ"/>
    <n v="27"/>
    <s v="-"/>
    <n v="20"/>
    <s v="-"/>
    <n v="3.75"/>
    <s v="-"/>
    <n v="23.75"/>
    <n v="88.75"/>
    <s v="CANCELADO"/>
    <s v="CANCELADO"/>
    <e v="#N/A"/>
    <s v="NO"/>
    <n v="25"/>
  </r>
  <r>
    <x v="0"/>
    <n v="25"/>
    <x v="0"/>
    <s v="629-257-4960"/>
    <s v="BACKUP INTERNET 1"/>
    <n v="29"/>
    <s v="-"/>
    <n v="20"/>
    <s v="-"/>
    <n v="3.75"/>
    <s v="-"/>
    <n v="23.75"/>
    <n v="63.75"/>
    <s v="Samsung"/>
    <s v="Backup Internet"/>
    <s v="SALES CENTRAL"/>
    <s v="NO"/>
    <n v="25"/>
  </r>
  <r>
    <x v="0"/>
    <n v="25"/>
    <x v="0"/>
    <s v="629-258-0227"/>
    <s v="BACKUP INTERNET 2"/>
    <n v="31"/>
    <s v="-"/>
    <n v="20"/>
    <s v="-"/>
    <n v="3.75"/>
    <s v="-"/>
    <n v="23.75"/>
    <n v="63.75"/>
    <s v="Samsung"/>
    <s v="Backup Internet"/>
    <s v="SALES CENTRAL"/>
    <s v="NO"/>
    <n v="25"/>
  </r>
  <r>
    <x v="0"/>
    <n v="25"/>
    <x v="0"/>
    <s v="615-945-4365"/>
    <s v="IVAN TELLO IPAD"/>
    <n v="33"/>
    <s v="-"/>
    <s v="-"/>
    <s v="-"/>
    <n v="3.75"/>
    <s v="-"/>
    <n v="3.75"/>
    <n v="23.75"/>
    <s v="Ipad"/>
    <s v="TELLO, IVAN E"/>
    <s v="SALES CENTRAL"/>
    <s v="NO"/>
    <n v="25"/>
  </r>
  <r>
    <x v="0"/>
    <n v="25"/>
    <x v="0"/>
    <s v="615-944-5380"/>
    <s v="LEONARDO PALENCIA I..."/>
    <n v="35"/>
    <s v="-"/>
    <s v="-"/>
    <s v="-"/>
    <n v="3.75"/>
    <s v="-"/>
    <n v="3.75"/>
    <n v="23.75"/>
    <s v="Ipad"/>
    <s v="PALENCIA RODRIGUEZ, LEONARDO R"/>
    <s v="SALES CENTRAL"/>
    <s v="NO"/>
    <n v="25"/>
  </r>
  <r>
    <x v="0"/>
    <n v="25"/>
    <x v="0"/>
    <s v="615-585-1725"/>
    <s v="SALES DSD IPAD"/>
    <n v="37"/>
    <s v="-"/>
    <s v="-"/>
    <s v="-"/>
    <n v="3.75"/>
    <s v="-"/>
    <n v="3.75"/>
    <n v="23.75"/>
    <s v="CANCELADO"/>
    <s v="CANCELADO"/>
    <e v="#N/A"/>
    <s v="NO"/>
    <n v="25"/>
  </r>
  <r>
    <x v="0"/>
    <n v="25"/>
    <x v="0"/>
    <s v="256-631-4188"/>
    <s v="DANIEL FLORES IPAD SA"/>
    <n v="39"/>
    <n v="4.12"/>
    <s v="-"/>
    <s v="-"/>
    <n v="3.75"/>
    <s v="-"/>
    <n v="7.87"/>
    <n v="27.87"/>
    <s v="Ipad"/>
    <s v="FLORES, JOSE DANIEL"/>
    <s v="SALES SOUTH"/>
    <s v="NO"/>
    <n v="25"/>
  </r>
  <r>
    <x v="0"/>
    <n v="25"/>
    <x v="0"/>
    <s v="629-345-1182"/>
    <s v="ROSMARY LA CRUZ IPA..."/>
    <n v="41"/>
    <s v="-"/>
    <s v="-"/>
    <s v="-"/>
    <n v="3.75"/>
    <s v="-"/>
    <n v="3.75"/>
    <n v="23.75"/>
    <s v="Ipad"/>
    <s v="LACRUZ, ROSMARY"/>
    <s v="SALES WEST"/>
    <s v="NO"/>
    <n v="25"/>
  </r>
  <r>
    <x v="0"/>
    <n v="25"/>
    <x v="0"/>
    <s v="901-467-5902"/>
    <s v="HELEN MADRIGAL IPAD SA"/>
    <n v="43"/>
    <s v="-"/>
    <s v="-"/>
    <s v="-"/>
    <n v="3.75"/>
    <s v="-"/>
    <n v="3.75"/>
    <n v="23.75"/>
    <s v="Ipad"/>
    <s v="MADRIGAL GARCIA, HELEN C"/>
    <s v="SALES NORTH"/>
    <s v="NO"/>
    <n v="25"/>
  </r>
  <r>
    <x v="0"/>
    <n v="25"/>
    <x v="0"/>
    <s v="629-345-1728"/>
    <s v="IPAD DISTRIBUIDORA ..."/>
    <n v="45"/>
    <s v="-"/>
    <s v="-"/>
    <n v="12.78"/>
    <n v="3.75"/>
    <s v="-"/>
    <n v="16.53"/>
    <n v="36.53"/>
    <s v="Ipad"/>
    <s v="GARCIA, RADDY"/>
    <s v="SALES NORTH"/>
    <s v="NO"/>
    <n v="25"/>
  </r>
  <r>
    <x v="0"/>
    <n v="25"/>
    <x v="0"/>
    <s v="629-345-1705"/>
    <s v="IPAD DISTRIBUIDORA ..."/>
    <n v="47"/>
    <s v="-"/>
    <s v="-"/>
    <n v="12.78"/>
    <n v="3.75"/>
    <s v="-"/>
    <n v="16.53"/>
    <n v="36.53"/>
    <s v="Ipad"/>
    <s v="CALDERON, PILAR ESTRADA"/>
    <s v="MERCHANDISER SOUTH"/>
    <s v="NO"/>
    <n v="25"/>
  </r>
  <r>
    <x v="0"/>
    <n v="25"/>
    <x v="0"/>
    <s v="629-345-1574"/>
    <s v="IPAD DISTRIBUIDORA ..."/>
    <n v="49"/>
    <s v="-"/>
    <s v="-"/>
    <n v="12.78"/>
    <n v="3.75"/>
    <s v="-"/>
    <n v="16.53"/>
    <n v="36.53"/>
    <s v="Ipad"/>
    <s v="RIVERO, LUIS MARIANO"/>
    <s v="SALES CENTRAL"/>
    <s v="NO"/>
    <n v="25"/>
  </r>
  <r>
    <x v="0"/>
    <n v="25"/>
    <x v="0"/>
    <s v="629-729-3294"/>
    <s v="IPAD EDILIA SHINE"/>
    <n v="51"/>
    <s v="-"/>
    <s v="-"/>
    <s v="-"/>
    <n v="3.75"/>
    <s v="-"/>
    <n v="3.75"/>
    <n v="23.75"/>
    <s v="Ipad"/>
    <s v="SHINE, EDILIA D"/>
    <s v="SALES NORTH"/>
    <s v="NO"/>
    <n v="25"/>
  </r>
  <r>
    <x v="0"/>
    <n v="25"/>
    <x v="0"/>
    <s v="629-729-3287"/>
    <s v="IPAD RAFAEL CHANCHA..."/>
    <n v="53"/>
    <s v="-"/>
    <s v="-"/>
    <s v="-"/>
    <n v="3.75"/>
    <s v="-"/>
    <n v="3.75"/>
    <n v="23.75"/>
    <s v="Ipad"/>
    <s v="CHANCHAMIRE, RAFAEL A"/>
    <s v="SALES WEST"/>
    <s v="NO"/>
    <n v="25"/>
  </r>
  <r>
    <x v="0"/>
    <n v="25"/>
    <x v="0"/>
    <s v="205-527-8021"/>
    <s v="JOSE MAITE SA"/>
    <n v="55"/>
    <n v="4.1100000000000003"/>
    <n v="50"/>
    <n v="5"/>
    <n v="4.87"/>
    <n v="2.9"/>
    <n v="66.88"/>
    <n v="66.88"/>
    <s v="Iphone"/>
    <s v="MAITA, JOSE"/>
    <s v="SALES SOUTH"/>
    <s v="NO"/>
    <n v="25"/>
  </r>
  <r>
    <x v="0"/>
    <n v="25"/>
    <x v="0"/>
    <s v="205-529-6296"/>
    <s v="ROSMARY SILVA"/>
    <n v="57"/>
    <n v="-30.88"/>
    <n v="50"/>
    <s v="-"/>
    <n v="4.2300000000000004"/>
    <n v="1.92"/>
    <n v="25.27"/>
    <n v="25.27"/>
    <s v="Iphone"/>
    <s v="SILVA R, ROSMARY JOSE"/>
    <s v="SALES SOUTH"/>
    <s v="205-529-6296"/>
    <n v="15"/>
  </r>
  <r>
    <x v="0"/>
    <n v="25"/>
    <x v="0"/>
    <s v="205-767-8090"/>
    <s v="JESUS GUERRERO"/>
    <n v="59"/>
    <n v="-35"/>
    <n v="50"/>
    <s v="-"/>
    <n v="4.2300000000000004"/>
    <n v="1.92"/>
    <n v="21.15"/>
    <n v="21.15"/>
    <s v="Iphone"/>
    <s v="GUERRERO, JESUS"/>
    <s v="SALES SOUTH"/>
    <s v="205-767-8090"/>
    <n v="15"/>
  </r>
  <r>
    <x v="0"/>
    <n v="25"/>
    <x v="0"/>
    <s v="256-724-1530"/>
    <s v="DANIEL FLORES SA"/>
    <n v="61"/>
    <n v="4.12"/>
    <n v="50"/>
    <n v="10.99"/>
    <n v="4.87"/>
    <n v="2.9"/>
    <n v="72.88"/>
    <n v="72.88"/>
    <s v="Iphone"/>
    <s v="FLORES, JOSE DANIEL"/>
    <s v="SALES SOUTH"/>
    <s v="NO"/>
    <n v="25"/>
  </r>
  <r>
    <x v="0"/>
    <n v="25"/>
    <x v="0"/>
    <s v="314-309-4058"/>
    <s v="YESENIA LOPEZ"/>
    <n v="63"/>
    <s v="-"/>
    <n v="50"/>
    <n v="5"/>
    <n v="4.87"/>
    <n v="2.57"/>
    <n v="62.44"/>
    <n v="62.44"/>
    <s v="Iphone"/>
    <s v="LOPEZ, YESENIA"/>
    <s v="SALES WEST"/>
    <s v="NO"/>
    <n v="25"/>
  </r>
  <r>
    <x v="0"/>
    <n v="25"/>
    <x v="0"/>
    <s v="314-580-3315"/>
    <s v="VICTOR CAICEDO"/>
    <n v="65"/>
    <n v="-30.88"/>
    <n v="50"/>
    <s v="-"/>
    <n v="4.2300000000000004"/>
    <n v="1.92"/>
    <n v="25.27"/>
    <n v="25.27"/>
    <s v="Iphone"/>
    <s v="CAICEDO, VICTOR M"/>
    <s v="SALES WEST"/>
    <s v="314-580-3315"/>
    <n v="15"/>
  </r>
  <r>
    <x v="0"/>
    <n v="25"/>
    <x v="0"/>
    <s v="317-500-7156"/>
    <s v="NAYELY SORIANO"/>
    <n v="67"/>
    <n v="-30.88"/>
    <n v="50"/>
    <s v="-"/>
    <n v="4.2300000000000004"/>
    <n v="1.92"/>
    <n v="25.27"/>
    <n v="25.27"/>
    <s v="Iphone"/>
    <s v="SORIANO, NAYELY"/>
    <s v="SALES NORTH"/>
    <s v="317-500-7156"/>
    <n v="15"/>
  </r>
  <r>
    <x v="0"/>
    <n v="25"/>
    <x v="0"/>
    <s v="423-321-4014"/>
    <s v="JUAN CARLOS CORADO"/>
    <n v="69"/>
    <n v="-35"/>
    <n v="50"/>
    <s v="-"/>
    <n v="4.2300000000000004"/>
    <n v="1.92"/>
    <n v="21.15"/>
    <n v="21.15"/>
    <s v="Iphone"/>
    <s v="CORADO, JUAN CARLOS"/>
    <s v="SALES SOUTH"/>
    <s v="423-321-4014"/>
    <n v="15"/>
  </r>
  <r>
    <x v="0"/>
    <n v="25"/>
    <x v="0"/>
    <s v="463-209-9259"/>
    <s v="EDILIA SSHINE SA"/>
    <n v="71"/>
    <n v="4.12"/>
    <n v="50"/>
    <s v="-"/>
    <n v="4.87"/>
    <n v="2.57"/>
    <n v="61.56"/>
    <n v="61.56"/>
    <s v="Iphone"/>
    <s v="SHINE, EDILIA D"/>
    <s v="SALES NORTH"/>
    <s v="NO"/>
    <n v="25"/>
  </r>
  <r>
    <x v="0"/>
    <n v="25"/>
    <x v="0"/>
    <s v="463-867-7910"/>
    <s v="NEW INDY USER DISTR..."/>
    <n v="73"/>
    <n v="4.12"/>
    <n v="50"/>
    <n v="5.99"/>
    <n v="5.0199999999999996"/>
    <n v="1.78"/>
    <n v="66.91"/>
    <n v="66.91"/>
    <s v="CANCELADO"/>
    <s v="CANCELADO"/>
    <e v="#N/A"/>
    <s v="NO"/>
    <n v="25"/>
  </r>
  <r>
    <x v="0"/>
    <n v="25"/>
    <x v="0"/>
    <s v="470-330-9757"/>
    <s v="KAREN ORELLANA"/>
    <n v="75"/>
    <s v="-"/>
    <n v="50"/>
    <s v="-"/>
    <n v="4.87"/>
    <n v="2.57"/>
    <n v="57.44"/>
    <n v="57.44"/>
    <s v="CANCELADO"/>
    <s v="CANCELADO"/>
    <e v="#N/A"/>
    <s v="NO"/>
    <n v="25"/>
  </r>
  <r>
    <x v="0"/>
    <n v="25"/>
    <x v="0"/>
    <s v="470-609-0538"/>
    <s v="DANIEL GARCIA"/>
    <n v="77"/>
    <n v="4.12"/>
    <n v="50"/>
    <s v="-"/>
    <n v="4.87"/>
    <n v="2.39"/>
    <n v="61.38"/>
    <n v="61.38"/>
    <s v="no aplica"/>
    <s v="DANIEL GARCIA"/>
    <s v="ATLANTA"/>
    <s v="NO"/>
    <n v="25"/>
  </r>
  <r>
    <x v="0"/>
    <n v="25"/>
    <x v="0"/>
    <s v="470-609-0570"/>
    <s v="OSCAR BARRAGAN"/>
    <n v="79"/>
    <n v="4.12"/>
    <n v="50"/>
    <s v="-"/>
    <n v="4.87"/>
    <n v="2.39"/>
    <n v="61.38"/>
    <n v="61.38"/>
    <s v="no aplica"/>
    <s v="OSCAR BARRAGAN"/>
    <s v="ATLANTA"/>
    <s v="NO"/>
    <n v="25"/>
  </r>
  <r>
    <x v="0"/>
    <n v="25"/>
    <x v="0"/>
    <s v="470-737-8596"/>
    <s v="ISRAEL LOPEZ"/>
    <n v="81"/>
    <s v="-"/>
    <n v="50"/>
    <s v="-"/>
    <n v="4.87"/>
    <n v="2.57"/>
    <n v="57.44"/>
    <n v="57.44"/>
    <s v="CANCELADO"/>
    <s v="CANCELADO"/>
    <e v="#N/A"/>
    <s v="NO"/>
    <n v="25"/>
  </r>
  <r>
    <x v="0"/>
    <n v="25"/>
    <x v="0"/>
    <s v="501-773-3738"/>
    <s v="SALES ARKANSAS"/>
    <n v="83"/>
    <n v="4.1100000000000003"/>
    <n v="30"/>
    <s v="-"/>
    <n v="3.75"/>
    <s v="-"/>
    <n v="37.86"/>
    <n v="37.86"/>
    <s v="Ipad"/>
    <s v="VILLAVICENCIO, ARTURO J"/>
    <s v="SALES WEST"/>
    <s v="NO"/>
    <n v="25"/>
  </r>
  <r>
    <x v="0"/>
    <n v="25"/>
    <x v="0"/>
    <s v="501-773-3763"/>
    <s v="ARTURO VILLAVICENCIO"/>
    <n v="85"/>
    <n v="-30.89"/>
    <n v="50"/>
    <s v="-"/>
    <n v="4.2300000000000004"/>
    <n v="1.92"/>
    <n v="25.26"/>
    <n v="25.26"/>
    <s v="Iphone"/>
    <s v="VILLAVICENCIO, ARTURO J"/>
    <s v="SALES WEST"/>
    <s v="501-773-3763"/>
    <n v="15"/>
  </r>
  <r>
    <x v="0"/>
    <n v="25"/>
    <x v="0"/>
    <s v="502-341-1558"/>
    <s v="DILVER GARCIA"/>
    <n v="87"/>
    <n v="-16.670000000000002"/>
    <n v="50"/>
    <s v="-"/>
    <n v="4.5599999999999996"/>
    <n v="0.97"/>
    <n v="38.86"/>
    <n v="38.86"/>
    <n v="0"/>
    <s v="Backup  "/>
    <s v="SALES CENTRAL"/>
    <s v="502-341-1558"/>
    <n v="15"/>
  </r>
  <r>
    <x v="0"/>
    <n v="25"/>
    <x v="0"/>
    <s v="502-558-5770"/>
    <s v="JAVIER MOJICA LG"/>
    <n v="89"/>
    <n v="12.84"/>
    <n v="25"/>
    <s v="-"/>
    <n v="5.53"/>
    <n v="3.23"/>
    <n v="46.6"/>
    <n v="46.6"/>
    <s v="Galaxy "/>
    <s v="MOJICA, FRANCISCO JAVIER"/>
    <s v="LOGISTICS CENTRAL"/>
    <s v="502-558-5770"/>
    <n v="15"/>
  </r>
  <r>
    <x v="0"/>
    <n v="25"/>
    <x v="0"/>
    <s v="502-974-3915"/>
    <s v="CLAUDIA ARMES"/>
    <n v="91"/>
    <n v="-35"/>
    <n v="50"/>
    <s v="-"/>
    <n v="4.2300000000000004"/>
    <n v="1.92"/>
    <n v="21.15"/>
    <n v="21.15"/>
    <s v="Iphone"/>
    <s v="ARMES, CLAUDIA"/>
    <s v="SALES NORTH"/>
    <s v="502-974-3915"/>
    <n v="15"/>
  </r>
  <r>
    <x v="0"/>
    <n v="25"/>
    <x v="0"/>
    <s v="513-675-0865"/>
    <s v="IRIS CORDERO"/>
    <n v="93"/>
    <n v="-30.89"/>
    <n v="50"/>
    <s v="-"/>
    <n v="4.2300000000000004"/>
    <n v="1.92"/>
    <n v="25.26"/>
    <n v="25.26"/>
    <s v="Iphone"/>
    <s v="CORDERO, IRIS"/>
    <s v="SALES NORTH"/>
    <s v="513-675-0865"/>
    <n v="15"/>
  </r>
  <r>
    <x v="0"/>
    <n v="25"/>
    <x v="0"/>
    <s v="513-720-1147"/>
    <s v="CINCINNATI LIMENA"/>
    <n v="95"/>
    <n v="4.1100000000000003"/>
    <n v="50"/>
    <n v="5"/>
    <n v="5"/>
    <n v="1.29"/>
    <n v="65.400000000000006"/>
    <n v="65.400000000000006"/>
    <s v="Iphone"/>
    <s v="ALVAREZ PALOMARES M, PAULA MAYREN"/>
    <s v="MERCHANDISER NORTH"/>
    <s v="NO"/>
    <n v="25"/>
  </r>
  <r>
    <x v="0"/>
    <n v="25"/>
    <x v="0"/>
    <s v="601-910-8492"/>
    <s v="ROSMARY LACRUZ"/>
    <n v="97"/>
    <n v="-35"/>
    <n v="50"/>
    <s v="-"/>
    <n v="4.2300000000000004"/>
    <n v="1.92"/>
    <n v="21.15"/>
    <n v="21.15"/>
    <s v="Iphone"/>
    <s v="LACRUZ, ROSMARY"/>
    <s v="SALES WEST"/>
    <s v="601-910-8492"/>
    <n v="15"/>
  </r>
  <r>
    <x v="0"/>
    <n v="25"/>
    <x v="0"/>
    <s v="615-207-2464"/>
    <s v="OSMAN CABRERA"/>
    <n v="99"/>
    <n v="-30.89"/>
    <n v="50"/>
    <s v="-"/>
    <n v="4.2300000000000004"/>
    <n v="1.92"/>
    <n v="25.26"/>
    <n v="25.26"/>
    <s v="Iphone"/>
    <s v="CABRERA, OSMAN A"/>
    <s v="SALES CENTRAL"/>
    <s v="615-207-2464"/>
    <n v="15"/>
  </r>
  <r>
    <x v="0"/>
    <n v="25"/>
    <x v="0"/>
    <s v="615-299-3640"/>
    <s v="SIMON CASTELLANO"/>
    <n v="101"/>
    <n v="12.84"/>
    <n v="25"/>
    <s v="-"/>
    <n v="4.71"/>
    <n v="5.49"/>
    <n v="48.04"/>
    <n v="48.04"/>
    <s v="Galaxy"/>
    <s v="DE LOS SANTOS, LUIS"/>
    <s v="LOGISTIC SOUTH"/>
    <s v="615-299-3640"/>
    <n v="15"/>
  </r>
  <r>
    <x v="0"/>
    <n v="25"/>
    <x v="0"/>
    <s v="615-299-3641"/>
    <s v="EDGAR FERNANDEZ LQ"/>
    <n v="103"/>
    <n v="4.1100000000000003"/>
    <n v="50"/>
    <n v="-0.99"/>
    <n v="4.87"/>
    <n v="2.57"/>
    <n v="60.56"/>
    <n v="60.56"/>
    <s v="Motorola"/>
    <s v="FERNANDEZ, EDGAR"/>
    <s v="LOGISTICS CENTRAL"/>
    <s v="NO"/>
    <n v="25"/>
  </r>
  <r>
    <x v="0"/>
    <n v="25"/>
    <x v="0"/>
    <s v="615-305-1999"/>
    <s v="IPAD SALES"/>
    <n v="105"/>
    <s v="-"/>
    <n v="30"/>
    <s v="-"/>
    <n v="3.75"/>
    <s v="-"/>
    <n v="33.75"/>
    <n v="33.75"/>
    <s v="Ipad"/>
    <e v="#N/A"/>
    <e v="#N/A"/>
    <s v="NO"/>
    <n v="25"/>
  </r>
  <r>
    <x v="0"/>
    <n v="25"/>
    <x v="0"/>
    <s v="615-310-9970"/>
    <s v="ALBERT CARDOZO"/>
    <n v="107"/>
    <s v="-"/>
    <n v="15"/>
    <s v="-"/>
    <n v="3.75"/>
    <s v="-"/>
    <n v="18.75"/>
    <n v="18.75"/>
    <s v="Ipad"/>
    <s v="CARDOZO, ALBERT YVAN"/>
    <s v="SALES RITEFILL DSD CENTRAL"/>
    <s v="615-310-9970"/>
    <n v="15"/>
  </r>
  <r>
    <x v="0"/>
    <n v="25"/>
    <x v="0"/>
    <s v="615-316-8577"/>
    <s v="HR LIMENA"/>
    <n v="109"/>
    <s v="-"/>
    <n v="50"/>
    <n v="25"/>
    <n v="4.87"/>
    <n v="2.57"/>
    <n v="82.44"/>
    <n v="82.44"/>
    <s v="Iphone"/>
    <s v="DUQUE IYENGAR, DANIELA"/>
    <s v="HR"/>
    <s v="NO"/>
    <n v="25"/>
  </r>
  <r>
    <x v="0"/>
    <n v="25"/>
    <x v="0"/>
    <s v="615-337-4949"/>
    <s v="DAVID CONDE WH"/>
    <n v="111"/>
    <s v="-"/>
    <n v="50"/>
    <s v="-"/>
    <n v="4.87"/>
    <n v="2.57"/>
    <n v="57.44"/>
    <n v="57.44"/>
    <s v="Galaxy"/>
    <s v="CONDE TORRES, DAVID A"/>
    <s v="WAREHOUSE CENTRAL"/>
    <s v="NO"/>
    <n v="25"/>
  </r>
  <r>
    <x v="0"/>
    <n v="25"/>
    <x v="0"/>
    <s v="615-390-4624"/>
    <s v="HENRY ESQUIVEL"/>
    <n v="113"/>
    <n v="-35"/>
    <n v="50"/>
    <s v="-"/>
    <n v="4.2300000000000004"/>
    <n v="1.92"/>
    <n v="21.15"/>
    <n v="21.15"/>
    <s v="Iphone"/>
    <s v="ESQUIVEL, HENRY"/>
    <s v="WAREHOUSE CENTRAL"/>
    <s v="615-390-4624"/>
    <n v="15"/>
  </r>
  <r>
    <x v="0"/>
    <n v="25"/>
    <x v="0"/>
    <s v="615-403-8760"/>
    <s v="MERARI VILLATORO"/>
    <n v="115"/>
    <n v="600.92999999999995"/>
    <n v="50"/>
    <n v="38.89"/>
    <n v="9.86"/>
    <n v="5.27"/>
    <n v="704.95"/>
    <n v="704.95"/>
    <s v="Iphone"/>
    <s v="VILLATORO, MERARI"/>
    <s v="VP"/>
    <s v="NO"/>
    <n v="25"/>
  </r>
  <r>
    <x v="0"/>
    <n v="25"/>
    <x v="0"/>
    <s v="615-417-0015"/>
    <s v="JESSICA BARAJAS LA"/>
    <n v="117"/>
    <s v="-"/>
    <n v="50"/>
    <s v="-"/>
    <n v="4.87"/>
    <n v="2.57"/>
    <n v="57.44"/>
    <n v="57.44"/>
    <s v="Iphone"/>
    <s v="BARAJAS, JESSICA"/>
    <s v="SALES NORTH"/>
    <s v="NO"/>
    <n v="25"/>
  </r>
  <r>
    <x v="0"/>
    <n v="25"/>
    <x v="0"/>
    <s v="615-417-9594"/>
    <s v="NICOLAS FINANZAS"/>
    <n v="119"/>
    <s v="-"/>
    <n v="50"/>
    <s v="-"/>
    <n v="4.87"/>
    <n v="2.57"/>
    <n v="57.44"/>
    <n v="57.44"/>
    <s v="Iphone"/>
    <s v="QUIJANO, NICOLAS"/>
    <s v="CFO"/>
    <s v="NO"/>
    <n v="25"/>
  </r>
  <r>
    <x v="0"/>
    <n v="25"/>
    <x v="0"/>
    <s v="615-426-4622"/>
    <s v="ZEDRICK PATINO"/>
    <n v="121"/>
    <s v="-"/>
    <n v="50"/>
    <s v="-"/>
    <n v="4.87"/>
    <n v="2.57"/>
    <n v="57.44"/>
    <n v="57.44"/>
    <s v="Iphone"/>
    <s v="PATINO, ZEDERICK"/>
    <s v="MERCHANDISER CENTRAL"/>
    <s v="NO"/>
    <n v="25"/>
  </r>
  <r>
    <x v="0"/>
    <n v="25"/>
    <x v="0"/>
    <s v="615-456-2536"/>
    <s v="DANNY CABANZO"/>
    <n v="123"/>
    <n v="-30.88"/>
    <n v="50"/>
    <s v="-"/>
    <n v="4.2300000000000004"/>
    <n v="1.92"/>
    <n v="25.27"/>
    <n v="25.27"/>
    <s v="Iphone"/>
    <s v="CABANZO, DANNY"/>
    <s v="SALES CENTRAL"/>
    <s v="615-456-2536"/>
    <n v="15"/>
  </r>
  <r>
    <x v="0"/>
    <n v="25"/>
    <x v="0"/>
    <s v="615-476-5992"/>
    <s v="MONICA AYALA"/>
    <n v="125"/>
    <s v="-"/>
    <n v="50"/>
    <s v="-"/>
    <n v="4.87"/>
    <n v="2.57"/>
    <n v="57.44"/>
    <n v="57.44"/>
    <s v="CANCELADO"/>
    <s v="CANCELADO"/>
    <e v="#N/A"/>
    <s v="NO"/>
    <n v="25"/>
  </r>
  <r>
    <x v="0"/>
    <n v="25"/>
    <x v="0"/>
    <s v="615-477-6490"/>
    <s v="MERARI TWOLINE"/>
    <n v="127"/>
    <s v="-"/>
    <n v="50"/>
    <n v="30.56"/>
    <n v="4.87"/>
    <n v="2.57"/>
    <n v="88"/>
    <n v="88"/>
    <s v="Iphone"/>
    <s v="VILLATORO, MERARI"/>
    <s v="VP"/>
    <s v="NO"/>
    <n v="25"/>
  </r>
  <r>
    <x v="0"/>
    <n v="25"/>
    <x v="0"/>
    <s v="615-496-8278"/>
    <s v="JOHAN MADRIZ"/>
    <n v="129"/>
    <n v="307.5"/>
    <n v="50"/>
    <n v="38.89"/>
    <n v="14.22"/>
    <n v="6.17"/>
    <n v="416.78"/>
    <n v="416.78"/>
    <s v="Iphone"/>
    <s v="MADRIZ, JOHAN"/>
    <s v="President"/>
    <s v="NO"/>
    <n v="25"/>
  </r>
  <r>
    <x v="0"/>
    <n v="25"/>
    <x v="0"/>
    <s v="615-586-0725"/>
    <s v="YESENIA LOPEZ SA"/>
    <n v="131"/>
    <s v="-"/>
    <n v="30"/>
    <s v="-"/>
    <n v="3.75"/>
    <s v="-"/>
    <n v="33.75"/>
    <n v="33.75"/>
    <s v="Ipad"/>
    <s v="LOPEZ, YESENIA"/>
    <s v="SALES WEST"/>
    <s v="NO"/>
    <n v="25"/>
  </r>
  <r>
    <x v="0"/>
    <n v="25"/>
    <x v="0"/>
    <s v="615-586-4787"/>
    <s v="JOSE MAITA IPAD"/>
    <n v="133"/>
    <s v="-"/>
    <n v="30"/>
    <s v="-"/>
    <n v="3.75"/>
    <s v="-"/>
    <n v="33.75"/>
    <n v="33.75"/>
    <s v="Ipad"/>
    <s v="MAITA, JOSE"/>
    <s v="SALES SOUTH"/>
    <s v="NO"/>
    <n v="25"/>
  </r>
  <r>
    <x v="0"/>
    <n v="25"/>
    <x v="0"/>
    <s v="615-589-2741"/>
    <s v="ROSMARY SILVA IPAD"/>
    <n v="135"/>
    <s v="-"/>
    <n v="30"/>
    <s v="-"/>
    <n v="3.75"/>
    <s v="-"/>
    <n v="33.75"/>
    <n v="33.75"/>
    <s v="Ipad"/>
    <s v="SILVA R, ROSMARY JOSE"/>
    <s v="SALES SOUTH"/>
    <s v="NO"/>
    <n v="25"/>
  </r>
  <r>
    <x v="0"/>
    <n v="25"/>
    <x v="0"/>
    <s v="615-589-4199"/>
    <s v="ELIZABETH PELAEZ"/>
    <n v="137"/>
    <s v="-"/>
    <n v="50"/>
    <n v="10.99"/>
    <n v="4.87"/>
    <n v="2.57"/>
    <n v="68.430000000000007"/>
    <n v="68.430000000000007"/>
    <s v="Iphone"/>
    <s v="PELAEZ, ELIZABETH"/>
    <s v="SALES CENTRAL"/>
    <s v="NO"/>
    <n v="25"/>
  </r>
  <r>
    <x v="0"/>
    <n v="25"/>
    <x v="0"/>
    <s v="615-626-2116"/>
    <s v="DILVER GARCIA"/>
    <n v="139"/>
    <n v="-35"/>
    <n v="50"/>
    <s v="-"/>
    <n v="4.2300000000000004"/>
    <n v="1.92"/>
    <n v="21.15"/>
    <n v="21.15"/>
    <s v="Iphone"/>
    <s v="SUAREZ LEZCANO, FERNANDO M"/>
    <s v="SALES RITEFILL DSD CENTRAL"/>
    <s v="615-626-2116"/>
    <n v="15"/>
  </r>
  <r>
    <x v="0"/>
    <n v="25"/>
    <x v="0"/>
    <s v="615-626-2756"/>
    <s v="LIZET NAJERA"/>
    <n v="141"/>
    <n v="-35"/>
    <n v="50"/>
    <s v="-"/>
    <n v="4.2300000000000004"/>
    <n v="1.92"/>
    <n v="21.15"/>
    <n v="21.15"/>
    <s v="Iphone"/>
    <s v="NAJERA, LIZET"/>
    <s v="SALES NORTH"/>
    <s v="615-626-2756"/>
    <n v="15"/>
  </r>
  <r>
    <x v="0"/>
    <n v="25"/>
    <x v="0"/>
    <s v="615-626-3208"/>
    <s v="ALEJANDRA LOPEZ"/>
    <n v="143"/>
    <n v="-35"/>
    <n v="50"/>
    <s v="-"/>
    <n v="4.2300000000000004"/>
    <n v="1.92"/>
    <n v="21.15"/>
    <n v="21.15"/>
    <s v="Iphone"/>
    <s v="LOPEZ, ALEJANDRA C"/>
    <s v="SALES WEST"/>
    <s v="615-626-3208"/>
    <n v="15"/>
  </r>
  <r>
    <x v="0"/>
    <n v="25"/>
    <x v="0"/>
    <s v="615-626-3219"/>
    <s v="ZULLYMAR TOVAR"/>
    <n v="145"/>
    <n v="-35"/>
    <n v="50"/>
    <s v="-"/>
    <n v="4.2300000000000004"/>
    <n v="1.92"/>
    <n v="21.15"/>
    <n v="21.15"/>
    <n v="0"/>
    <s v="TOVAR, ZULLYMAR"/>
    <s v="SALES CENTRAL"/>
    <s v="615-626-3219"/>
    <n v="15"/>
  </r>
  <r>
    <x v="0"/>
    <n v="25"/>
    <x v="0"/>
    <s v="615-626-4243"/>
    <s v="JOSE HERRERA"/>
    <n v="147"/>
    <s v="-"/>
    <n v="50"/>
    <n v="23.61"/>
    <n v="4.87"/>
    <n v="2.57"/>
    <n v="81.05"/>
    <n v="81.05"/>
    <s v="Iphone"/>
    <s v="HERRERA MOLINA, JOSE CARLOS"/>
    <s v="CEO"/>
    <s v="NO"/>
    <n v="25"/>
  </r>
  <r>
    <x v="0"/>
    <n v="25"/>
    <x v="0"/>
    <s v="615-674-8479"/>
    <s v="JORGE PRADO"/>
    <n v="149"/>
    <s v="-"/>
    <n v="60"/>
    <n v="25"/>
    <n v="4.99"/>
    <n v="7.68"/>
    <n v="97.67"/>
    <n v="97.67"/>
    <s v="Iphone"/>
    <s v="PRADO, JORGE A"/>
    <s v="COO"/>
    <s v="NO"/>
    <n v="25"/>
  </r>
  <r>
    <x v="0"/>
    <n v="25"/>
    <x v="0"/>
    <s v="615-691-3166"/>
    <s v="WAREHOUSE TN NASHVILLE"/>
    <n v="151"/>
    <n v="-6.75"/>
    <n v="50"/>
    <s v="-"/>
    <n v="4.87"/>
    <n v="2.57"/>
    <n v="50.69"/>
    <n v="50.69"/>
    <s v="Iphone"/>
    <s v="QUIJANO, NICOLAS"/>
    <s v="CFO"/>
    <s v="NO"/>
    <n v="25"/>
  </r>
  <r>
    <x v="0"/>
    <n v="25"/>
    <x v="0"/>
    <s v="615-708-0397"/>
    <s v="JOHAN TWOLINE"/>
    <n v="153"/>
    <n v="-19.45"/>
    <n v="50"/>
    <n v="33.340000000000003"/>
    <n v="4.87"/>
    <n v="2.57"/>
    <n v="71.33"/>
    <n v="71.33"/>
    <s v="Iphone"/>
    <s v="MADRIZ, JOHAN"/>
    <s v="President"/>
    <s v="NO"/>
    <n v="25"/>
  </r>
  <r>
    <x v="0"/>
    <n v="25"/>
    <x v="0"/>
    <s v="615-730-3104"/>
    <s v="IVAN TELLO SA"/>
    <n v="155"/>
    <s v="-"/>
    <n v="50"/>
    <n v="5"/>
    <n v="4.87"/>
    <n v="2.57"/>
    <n v="62.44"/>
    <n v="62.44"/>
    <s v="Iphone"/>
    <s v="TELLO, IVAN E"/>
    <s v="SALES CENTRAL"/>
    <s v="NO"/>
    <n v="25"/>
  </r>
  <r>
    <x v="0"/>
    <n v="25"/>
    <x v="0"/>
    <s v="615-768-6114"/>
    <s v="IPAD BYOD"/>
    <n v="157"/>
    <n v="7"/>
    <n v="15"/>
    <s v="-"/>
    <n v="3.75"/>
    <s v="-"/>
    <n v="25.75"/>
    <n v="25.75"/>
    <s v="Ipad"/>
    <s v="SILVA, ELISA"/>
    <s v="SALES WEST"/>
    <s v="NO"/>
    <n v="25"/>
  </r>
  <r>
    <x v="0"/>
    <n v="25"/>
    <x v="0"/>
    <s v="615-795-8193"/>
    <s v="ANDRES FUENMAYOR"/>
    <n v="159"/>
    <n v="-16.670000000000002"/>
    <n v="50"/>
    <s v="-"/>
    <n v="4.2300000000000004"/>
    <n v="1.92"/>
    <n v="39.479999999999997"/>
    <n v="39.479999999999997"/>
    <s v="Galaxy "/>
    <s v="REMBERT, ANTORIUS DAVUN"/>
    <s v="LOGISTICS SOUTH"/>
    <s v="615-795-8193"/>
    <n v="15"/>
  </r>
  <r>
    <x v="0"/>
    <n v="25"/>
    <x v="0"/>
    <s v="615-795-8195"/>
    <s v="MERVIN FERERR"/>
    <n v="161"/>
    <n v="-16.670000000000002"/>
    <n v="50"/>
    <s v="-"/>
    <n v="4.2300000000000004"/>
    <n v="1.92"/>
    <n v="39.479999999999997"/>
    <n v="39.479999999999997"/>
    <s v="Galaxy "/>
    <s v="FERRER BRACHO, MERVIN J"/>
    <s v="LOGISTICS CENTRAL"/>
    <s v="615-795-8195"/>
    <n v="15"/>
  </r>
  <r>
    <x v="0"/>
    <n v="25"/>
    <x v="0"/>
    <s v="615-804-0516"/>
    <s v="YULIN REYES"/>
    <n v="163"/>
    <n v="-35"/>
    <n v="50"/>
    <s v="-"/>
    <n v="4.2300000000000004"/>
    <n v="1.92"/>
    <n v="21.15"/>
    <n v="21.15"/>
    <s v="Iphone"/>
    <s v="REYES, YULIN"/>
    <s v="SALES CENTRAL"/>
    <s v="615-804-0516"/>
    <n v="15"/>
  </r>
  <r>
    <x v="0"/>
    <n v="25"/>
    <x v="0"/>
    <s v="615-812-5934"/>
    <s v="ELISA SILVA"/>
    <n v="165"/>
    <s v="-"/>
    <n v="50"/>
    <s v="-"/>
    <n v="4.87"/>
    <n v="2.57"/>
    <n v="57.44"/>
    <n v="57.44"/>
    <s v="Iphone"/>
    <s v="QUEVEDO, NAIROVI Y"/>
    <s v="SALES WEST"/>
    <s v="NO"/>
    <n v="25"/>
  </r>
  <r>
    <x v="0"/>
    <n v="25"/>
    <x v="0"/>
    <s v="615-828-8926"/>
    <s v="LEONARDO PALENCIA SA"/>
    <n v="167"/>
    <s v="-"/>
    <n v="50"/>
    <n v="5"/>
    <n v="4.87"/>
    <n v="2.57"/>
    <n v="62.44"/>
    <n v="62.44"/>
    <s v="Iphone"/>
    <s v="PALENCIA RODRIGUEZ, LEONARDO R"/>
    <s v="SALES CENTRAL"/>
    <s v="NO"/>
    <n v="25"/>
  </r>
  <r>
    <x v="0"/>
    <n v="25"/>
    <x v="0"/>
    <s v="615-830-4944"/>
    <s v="YULIER PEREZ"/>
    <n v="169"/>
    <n v="-16.670000000000002"/>
    <n v="50"/>
    <s v="-"/>
    <n v="4.2300000000000004"/>
    <n v="1.92"/>
    <n v="39.479999999999997"/>
    <n v="39.479999999999997"/>
    <s v="Galaxy "/>
    <s v="PEREZ, YULIER"/>
    <s v="LOGISTICS CENTRAL"/>
    <s v="615-830-4944"/>
    <n v="15"/>
  </r>
  <r>
    <x v="0"/>
    <n v="25"/>
    <x v="0"/>
    <s v="615-830-6700"/>
    <s v="NICOLAS QUIJANO 2"/>
    <n v="171"/>
    <s v="-"/>
    <n v="50"/>
    <s v="-"/>
    <n v="4.87"/>
    <n v="2.57"/>
    <n v="57.44"/>
    <n v="57.44"/>
    <s v="Iphone"/>
    <s v="QUIJANO, NICOLAS"/>
    <s v="CFO"/>
    <s v="NO"/>
    <n v="25"/>
  </r>
  <r>
    <x v="0"/>
    <n v="25"/>
    <x v="0"/>
    <s v="615-840-0789"/>
    <s v="NAYRE PEREZ"/>
    <n v="173"/>
    <n v="-35"/>
    <n v="50"/>
    <s v="-"/>
    <n v="4.2300000000000004"/>
    <n v="1.92"/>
    <n v="21.15"/>
    <n v="21.15"/>
    <s v="Iphone"/>
    <s v="PEREZ HERNANDEZ, NAYRE"/>
    <s v="SALES CENTRAL"/>
    <s v="615-840-0789"/>
    <n v="15"/>
  </r>
  <r>
    <x v="0"/>
    <n v="25"/>
    <x v="0"/>
    <s v="615-854-5649"/>
    <s v="MARCELA ROA"/>
    <n v="175"/>
    <n v="-35"/>
    <n v="50"/>
    <s v="-"/>
    <n v="4.2300000000000004"/>
    <n v="1.92"/>
    <n v="21.15"/>
    <n v="21.15"/>
    <s v="Iphone"/>
    <s v="ROA, INGRID MARCELA"/>
    <s v="SALES SOUTH"/>
    <s v="615-854-5649"/>
    <n v="15"/>
  </r>
  <r>
    <x v="0"/>
    <n v="25"/>
    <x v="0"/>
    <s v="615-854-5797"/>
    <s v="CAROLINA TORREALBA"/>
    <n v="177"/>
    <n v="-35"/>
    <n v="50"/>
    <s v="-"/>
    <n v="4.2300000000000004"/>
    <n v="1.92"/>
    <n v="21.15"/>
    <n v="21.15"/>
    <s v="Iphone"/>
    <s v="TORREALBA TORRES, CAROLINA"/>
    <s v="SALES WEST"/>
    <s v="615-854-5797"/>
    <n v="15"/>
  </r>
  <r>
    <x v="0"/>
    <n v="25"/>
    <x v="0"/>
    <s v="615-862-1976"/>
    <s v="JORGE TENGREDI"/>
    <n v="179"/>
    <n v="-16.670000000000002"/>
    <n v="50"/>
    <s v="-"/>
    <n v="4.2300000000000004"/>
    <n v="1.92"/>
    <n v="39.479999999999997"/>
    <n v="39.479999999999997"/>
    <s v="Galaxy "/>
    <s v="TANGREDI, JORGE"/>
    <s v="LOGISTICS CENTRAL"/>
    <s v="615-862-1976"/>
    <n v="15"/>
  </r>
  <r>
    <x v="0"/>
    <n v="25"/>
    <x v="0"/>
    <s v="615-862-9402"/>
    <s v="RUDY BAHENA LG"/>
    <n v="181"/>
    <n v="-7.45"/>
    <n v="50"/>
    <s v="-"/>
    <n v="4.87"/>
    <n v="2.57"/>
    <n v="49.99"/>
    <n v="49.99"/>
    <s v="Galaxy"/>
    <s v="BAHENA, RUDY"/>
    <s v="LOGISTICS WEST"/>
    <s v="NO"/>
    <n v="25"/>
  </r>
  <r>
    <x v="0"/>
    <n v="25"/>
    <x v="0"/>
    <s v="615-878-0405"/>
    <s v="LUIS PARADA"/>
    <n v="183"/>
    <n v="-35"/>
    <n v="50"/>
    <s v="-"/>
    <n v="4.2300000000000004"/>
    <n v="1.92"/>
    <n v="21.15"/>
    <n v="21.15"/>
    <s v="Iphone"/>
    <s v="TORRES, LUIS"/>
    <s v="MERCHANDISER NORTH"/>
    <s v="615-878-0405"/>
    <n v="15"/>
  </r>
  <r>
    <x v="0"/>
    <n v="25"/>
    <x v="0"/>
    <s v="615-879-8762"/>
    <s v="ANDRES FUENMAYOR"/>
    <n v="185"/>
    <n v="-16.670000000000002"/>
    <n v="50"/>
    <s v="-"/>
    <n v="4.2300000000000004"/>
    <n v="1.92"/>
    <n v="39.479999999999997"/>
    <n v="39.479999999999997"/>
    <s v="Galaxy "/>
    <s v="FUENMAYOR, ANDRES"/>
    <s v="LOGISTICS CENTRAL"/>
    <s v="615-879-8762"/>
    <n v="15"/>
  </r>
  <r>
    <x v="0"/>
    <n v="25"/>
    <x v="0"/>
    <s v="615-881-4574"/>
    <s v="LIESKA MEMPHIS"/>
    <n v="187"/>
    <s v="-"/>
    <n v="50"/>
    <s v="-"/>
    <n v="0.67"/>
    <n v="0.56999999999999995"/>
    <n v="51.24"/>
    <n v="51.24"/>
    <s v="Samsung"/>
    <e v="#N/A"/>
    <e v="#N/A"/>
    <s v="615-881-4574"/>
    <n v="15"/>
  </r>
  <r>
    <x v="0"/>
    <n v="25"/>
    <x v="0"/>
    <s v="615-906-5129"/>
    <s v="RUDY BAHENA"/>
    <n v="189"/>
    <n v="-16.670000000000002"/>
    <n v="50"/>
    <s v="-"/>
    <n v="4.2300000000000004"/>
    <n v="1.92"/>
    <n v="39.479999999999997"/>
    <n v="39.479999999999997"/>
    <s v="Galaxy "/>
    <s v="BAHENA, RUDY"/>
    <s v="LOGISTICS WEST"/>
    <s v="615-906-5129"/>
    <n v="15"/>
  </r>
  <r>
    <x v="0"/>
    <n v="25"/>
    <x v="0"/>
    <s v="615-939-6293"/>
    <s v="GABRIEL NASHVILLE"/>
    <n v="191"/>
    <n v="-7.45"/>
    <n v="50"/>
    <s v="-"/>
    <n v="4.87"/>
    <n v="2.57"/>
    <n v="49.99"/>
    <n v="49.99"/>
    <s v="CANCELADO"/>
    <s v="CANCELADO"/>
    <e v="#N/A"/>
    <s v="NO"/>
    <n v="25"/>
  </r>
  <r>
    <x v="0"/>
    <n v="25"/>
    <x v="0"/>
    <s v="615-939-8241"/>
    <s v="ALBERT CARDOZO"/>
    <n v="193"/>
    <n v="-35"/>
    <n v="50"/>
    <s v="-"/>
    <n v="4.2300000000000004"/>
    <n v="1.92"/>
    <n v="21.15"/>
    <n v="21.15"/>
    <s v="Iphone"/>
    <s v="CARDOZO, ALBERT YVAN"/>
    <s v="SALES RITEFILL DSD CENTRAL"/>
    <s v="615-939-8241"/>
    <n v="15"/>
  </r>
  <r>
    <x v="0"/>
    <n v="25"/>
    <x v="0"/>
    <s v="615-939-9582"/>
    <s v="EDWIN GONZALEZ"/>
    <n v="195"/>
    <n v="-7.45"/>
    <n v="50"/>
    <s v="-"/>
    <n v="4.87"/>
    <n v="2.57"/>
    <n v="49.99"/>
    <n v="49.99"/>
    <s v="Galaxy"/>
    <s v="CASTILLO DUARTE, JOSE EDUARDO"/>
    <s v="Finance"/>
    <s v="NO"/>
    <n v="25"/>
  </r>
  <r>
    <x v="0"/>
    <n v="25"/>
    <x v="0"/>
    <s v="615-961-5944"/>
    <s v="JOSE BURGOS"/>
    <n v="197"/>
    <n v="-35"/>
    <n v="50"/>
    <s v="-"/>
    <n v="4.2300000000000004"/>
    <n v="1.92"/>
    <n v="21.15"/>
    <n v="21.15"/>
    <s v="Iphone"/>
    <s v="SILVA, ELISA"/>
    <s v="SALES WEST"/>
    <s v="615-961-5944"/>
    <n v="15"/>
  </r>
  <r>
    <x v="0"/>
    <n v="25"/>
    <x v="0"/>
    <s v="615-969-5642"/>
    <s v="KARLA SOLIS"/>
    <n v="199"/>
    <s v="-"/>
    <n v="50"/>
    <s v="-"/>
    <n v="4.87"/>
    <n v="2.57"/>
    <n v="57.44"/>
    <n v="57.44"/>
    <s v="Iphone"/>
    <s v="SOLIS SAN ANDRES, KARLA G"/>
    <s v="SALES WEST"/>
    <s v="NO"/>
    <n v="25"/>
  </r>
  <r>
    <x v="0"/>
    <n v="25"/>
    <x v="0"/>
    <s v="629-239-0377"/>
    <s v="CARMEN LONGA LG"/>
    <n v="201"/>
    <s v="-"/>
    <n v="50"/>
    <s v="-"/>
    <n v="4.87"/>
    <n v="2.57"/>
    <n v="57.44"/>
    <n v="57.44"/>
    <s v="Iphone"/>
    <s v="LONGA, CARMEN B"/>
    <s v="LOGISTICS WEST"/>
    <s v="NO"/>
    <n v="25"/>
  </r>
  <r>
    <x v="0"/>
    <n v="25"/>
    <x v="0"/>
    <s v="629-239-0999"/>
    <s v="JOSE LUCIO"/>
    <n v="203"/>
    <n v="-35"/>
    <n v="50"/>
    <s v="-"/>
    <n v="4.2300000000000004"/>
    <n v="1.92"/>
    <n v="21.15"/>
    <n v="21.15"/>
    <s v="Iphone"/>
    <s v="LUCIO FLORES, JOSE ANGEL"/>
    <s v="SALES NORTH"/>
    <s v="629-239-0999"/>
    <n v="15"/>
  </r>
  <r>
    <x v="0"/>
    <n v="25"/>
    <x v="0"/>
    <s v="629-256-6967"/>
    <s v="YNGEL GUTIERREZ"/>
    <n v="205"/>
    <s v="-"/>
    <n v="30"/>
    <s v="-"/>
    <n v="3.75"/>
    <s v="-"/>
    <n v="33.75"/>
    <n v="33.75"/>
    <s v="Ipad"/>
    <s v="GUTIERREZ TOVAR, YNGEL J"/>
    <s v="SALES CENTRAL"/>
    <s v="NO"/>
    <n v="25"/>
  </r>
  <r>
    <x v="0"/>
    <n v="25"/>
    <x v="0"/>
    <s v="629-256-9168"/>
    <s v="YNGEL GUTIERREZ"/>
    <n v="207"/>
    <n v="-35"/>
    <n v="50"/>
    <s v="-"/>
    <n v="4.2300000000000004"/>
    <n v="1.92"/>
    <n v="21.15"/>
    <n v="21.15"/>
    <s v="Iphone"/>
    <s v="GUTIERREZ TOVAR, YNGEL J"/>
    <s v="SALES CENTRAL"/>
    <s v="629-256-9168"/>
    <n v="15"/>
  </r>
  <r>
    <x v="0"/>
    <n v="25"/>
    <x v="0"/>
    <s v="629-264-3070"/>
    <s v="RICARDO BRITO HR"/>
    <n v="209"/>
    <n v="-6.75"/>
    <n v="50"/>
    <s v="-"/>
    <n v="4.87"/>
    <n v="2.57"/>
    <n v="50.69"/>
    <n v="50.69"/>
    <s v="Iphone"/>
    <s v="BRITO SALAZAR, RICARDO JOSE"/>
    <s v="HR"/>
    <s v="NO"/>
    <n v="25"/>
  </r>
  <r>
    <x v="0"/>
    <n v="25"/>
    <x v="0"/>
    <s v="629-285-9899"/>
    <s v="MIGUEL ZUBILLAGA"/>
    <n v="211"/>
    <s v="-"/>
    <n v="50"/>
    <n v="20"/>
    <n v="4.87"/>
    <n v="2.57"/>
    <n v="77.44"/>
    <n v="77.44"/>
    <s v="Iphone"/>
    <s v="LODYGENSKY, ISABELE"/>
    <s v="Corpotative ESG 110002"/>
    <s v="NO"/>
    <n v="25"/>
  </r>
  <r>
    <x v="0"/>
    <n v="25"/>
    <x v="0"/>
    <s v="629-318-9009"/>
    <s v="IPAD DE NACOMY"/>
    <n v="213"/>
    <s v="-"/>
    <n v="15"/>
    <s v="-"/>
    <n v="3.75"/>
    <s v="-"/>
    <n v="18.75"/>
    <n v="18.75"/>
    <s v="CANCELADO"/>
    <s v="CANCELADO"/>
    <e v="#N/A"/>
    <s v="NO"/>
    <n v="25"/>
  </r>
  <r>
    <x v="0"/>
    <n v="25"/>
    <x v="0"/>
    <s v="629-468-1066"/>
    <s v="REPLACEMENT LOST PHONE"/>
    <n v="215"/>
    <s v="-"/>
    <n v="50"/>
    <n v="5.99"/>
    <n v="4.87"/>
    <n v="2.57"/>
    <n v="63.43"/>
    <n v="63.43"/>
    <s v="CANCELADO"/>
    <s v="CANCELADO"/>
    <e v="#N/A"/>
    <s v="NO"/>
    <n v="25"/>
  </r>
  <r>
    <x v="0"/>
    <n v="25"/>
    <x v="0"/>
    <s v="629-468-8256"/>
    <s v="MARANGELIE RIVERA"/>
    <n v="217"/>
    <n v="-7.45"/>
    <n v="50"/>
    <s v="-"/>
    <n v="4.87"/>
    <n v="2.57"/>
    <n v="49.99"/>
    <n v="49.99"/>
    <n v="0"/>
    <s v="VIVAS, REYNA E"/>
    <s v="SALES RITEFILL DSD WEST"/>
    <s v="NO"/>
    <n v="25"/>
  </r>
  <r>
    <x v="0"/>
    <n v="25"/>
    <x v="0"/>
    <s v="678-579-7572"/>
    <s v="GABRIEL ABOUKHEIR"/>
    <n v="219"/>
    <s v="-"/>
    <n v="50"/>
    <s v="-"/>
    <n v="4.87"/>
    <n v="2.39"/>
    <n v="57.26"/>
    <n v="57.26"/>
    <s v="no aplica"/>
    <s v="GABRIEL ABOUK..."/>
    <s v="ATLANTA"/>
    <s v="NO"/>
    <n v="25"/>
  </r>
  <r>
    <x v="0"/>
    <n v="25"/>
    <x v="0"/>
    <s v="678-748-6121"/>
    <s v="GUSTAVO MORILLO"/>
    <n v="221"/>
    <s v="-"/>
    <n v="50"/>
    <s v="-"/>
    <n v="4.87"/>
    <n v="2.39"/>
    <n v="57.26"/>
    <n v="57.26"/>
    <s v="no aplica"/>
    <s v="GUSTAVO MORILLO"/>
    <s v="ATLANTA"/>
    <s v="NO"/>
    <n v="25"/>
  </r>
  <r>
    <x v="0"/>
    <n v="25"/>
    <x v="0"/>
    <s v="678-906-8991"/>
    <s v="ROSALINA SOCORRO"/>
    <n v="223"/>
    <s v="-"/>
    <n v="50"/>
    <s v="-"/>
    <n v="4.87"/>
    <n v="2.39"/>
    <n v="57.26"/>
    <n v="57.26"/>
    <s v="no aplica"/>
    <s v="ROSALINA SOCORRO"/>
    <s v="ATLANTA"/>
    <s v="NO"/>
    <n v="25"/>
  </r>
  <r>
    <x v="0"/>
    <n v="25"/>
    <x v="0"/>
    <s v="678-925-4534"/>
    <s v="ABIGAIL QUINTERO"/>
    <n v="225"/>
    <s v="-"/>
    <n v="50"/>
    <s v="-"/>
    <n v="4.87"/>
    <n v="2.39"/>
    <n v="57.26"/>
    <n v="57.26"/>
    <s v="no aplica"/>
    <s v="ABIGAIL QUINTERO"/>
    <s v="ATLANTA"/>
    <s v="NO"/>
    <n v="25"/>
  </r>
  <r>
    <x v="0"/>
    <n v="25"/>
    <x v="0"/>
    <s v="859-321-3539"/>
    <s v="ESMERALDA WILSON"/>
    <n v="227"/>
    <n v="-35"/>
    <n v="50"/>
    <s v="-"/>
    <n v="4.2300000000000004"/>
    <n v="1.92"/>
    <n v="21.15"/>
    <n v="21.15"/>
    <s v="Iphone"/>
    <s v="ESMERALDA WILSON"/>
    <s v="SALES CENTRAL"/>
    <s v="859-321-3539"/>
    <n v="15"/>
  </r>
  <r>
    <x v="0"/>
    <n v="25"/>
    <x v="0"/>
    <s v="865-334-0516"/>
    <s v="FABIOLA ROJAS MER"/>
    <n v="229"/>
    <s v="-"/>
    <n v="50"/>
    <n v="5"/>
    <n v="4.87"/>
    <n v="2.57"/>
    <n v="62.44"/>
    <n v="62.44"/>
    <s v="Iphone"/>
    <s v="ROJAS, FABIOLA V"/>
    <s v="MERCHANDISER CENTRAL"/>
    <s v="NO"/>
    <n v="25"/>
  </r>
  <r>
    <x v="0"/>
    <n v="25"/>
    <x v="0"/>
    <s v="865-396-3526"/>
    <s v="CARLOS VELIZ"/>
    <n v="231"/>
    <n v="-35"/>
    <n v="50"/>
    <s v="-"/>
    <n v="4.2300000000000004"/>
    <n v="1.92"/>
    <n v="21.15"/>
    <n v="21.15"/>
    <s v="Iphone"/>
    <s v="VELIZ, CARLOS A"/>
    <s v="SALES CENTRAL"/>
    <s v="865-396-3526"/>
    <n v="15"/>
  </r>
  <r>
    <x v="0"/>
    <n v="25"/>
    <x v="0"/>
    <s v="865-396-3528"/>
    <s v="CARLOS VELIZ SA"/>
    <n v="233"/>
    <s v="-"/>
    <n v="30"/>
    <s v="-"/>
    <n v="3.75"/>
    <s v="-"/>
    <n v="33.75"/>
    <n v="33.75"/>
    <s v="Ipad"/>
    <s v="VELIZ, CARLOS A"/>
    <s v="SALES CENTRAL"/>
    <s v="NO"/>
    <n v="25"/>
  </r>
  <r>
    <x v="0"/>
    <n v="25"/>
    <x v="0"/>
    <s v="901-275-5428"/>
    <s v="VERUUZKO RODRIGUEZ"/>
    <n v="235"/>
    <n v="-35"/>
    <n v="50"/>
    <s v="-"/>
    <n v="4.2300000000000004"/>
    <n v="1.92"/>
    <n v="21.15"/>
    <n v="21.15"/>
    <s v="Iphone"/>
    <s v="RODRIGUEZ, VERUUZKO"/>
    <s v="SALES CENTRAL"/>
    <s v="901-275-5428"/>
    <n v="15"/>
  </r>
  <r>
    <x v="0"/>
    <n v="25"/>
    <x v="0"/>
    <s v="901-410-6734"/>
    <s v="SANTIAGO MEMPHIS"/>
    <n v="237"/>
    <s v="-"/>
    <n v="50"/>
    <s v="-"/>
    <n v="4.87"/>
    <n v="2.57"/>
    <n v="57.44"/>
    <n v="57.44"/>
    <s v="Galaxy"/>
    <s v="RODRIGUEZ SR, CHRISTIAN MICHEAL"/>
    <s v="LOGISTIC SOUTH"/>
    <s v="NO"/>
    <n v="25"/>
  </r>
  <r>
    <x v="0"/>
    <n v="25"/>
    <x v="0"/>
    <s v="901-427-2093"/>
    <s v="ANDRES SUAREZ"/>
    <n v="239"/>
    <n v="-16.670000000000002"/>
    <n v="50"/>
    <s v="-"/>
    <n v="4.2300000000000004"/>
    <n v="1.92"/>
    <n v="39.479999999999997"/>
    <n v="39.479999999999997"/>
    <s v="Galaxy "/>
    <s v="SUAREZ, ANDRES E"/>
    <s v="LOGISTICS CENTRAL"/>
    <s v="901-427-2093"/>
    <n v="15"/>
  </r>
  <r>
    <x v="0"/>
    <n v="25"/>
    <x v="0"/>
    <s v="901-456-2279"/>
    <s v="CARLOS PEREZ"/>
    <n v="241"/>
    <s v="-"/>
    <n v="50"/>
    <n v="5"/>
    <n v="4.87"/>
    <n v="2.57"/>
    <n v="62.44"/>
    <n v="62.44"/>
    <s v="CANCELADO"/>
    <s v="CANCELADO"/>
    <e v="#N/A"/>
    <s v="NO"/>
    <n v="25"/>
  </r>
  <r>
    <x v="0"/>
    <n v="25"/>
    <x v="0"/>
    <s v="901-500-6953"/>
    <s v="CESAR RODRIGUEZ KY"/>
    <n v="243"/>
    <n v="-16.670000000000002"/>
    <n v="50"/>
    <s v="-"/>
    <n v="4.2300000000000004"/>
    <n v="1.92"/>
    <n v="39.479999999999997"/>
    <n v="39.479999999999997"/>
    <s v="Galaxy "/>
    <s v="RODRIGUEZ MELENDEZ, CESAR ANIBAL"/>
    <s v="LOGISTICS NORTH"/>
    <s v="901-500-6953"/>
    <n v="15"/>
  </r>
  <r>
    <x v="0"/>
    <n v="25"/>
    <x v="0"/>
    <s v="901-581-6397"/>
    <s v="JOSEFINA AVALOS SA"/>
    <n v="245"/>
    <s v="-"/>
    <n v="50"/>
    <s v="-"/>
    <n v="4.87"/>
    <n v="2.57"/>
    <n v="57.44"/>
    <n v="57.44"/>
    <s v="Iphone"/>
    <s v="AVALOS, JOSEFINA"/>
    <s v="SALES WEST"/>
    <s v="NO"/>
    <n v="25"/>
  </r>
  <r>
    <x v="0"/>
    <n v="25"/>
    <x v="0"/>
    <s v="901-585-9984"/>
    <s v="LUIS DE LA TORRE"/>
    <n v="247"/>
    <n v="-16.670000000000002"/>
    <n v="50"/>
    <s v="-"/>
    <n v="4.2300000000000004"/>
    <n v="1.92"/>
    <n v="39.479999999999997"/>
    <n v="39.479999999999997"/>
    <s v="Galaxy "/>
    <s v="DE LA TORRE, LUIS G"/>
    <s v="LOGISTICS WEST"/>
    <s v="901-585-9984"/>
    <n v="15"/>
  </r>
  <r>
    <x v="0"/>
    <n v="25"/>
    <x v="0"/>
    <s v="901-607-5291"/>
    <s v="BENY CORPUS"/>
    <n v="249"/>
    <n v="-16.670000000000002"/>
    <n v="50"/>
    <s v="-"/>
    <n v="4.2300000000000004"/>
    <n v="1.92"/>
    <n v="39.479999999999997"/>
    <n v="39.479999999999997"/>
    <s v="Galaxy "/>
    <s v="CORPUS, BENY A"/>
    <s v="LOGISTICS CENTRAL"/>
    <s v="901-607-5291"/>
    <n v="15"/>
  </r>
  <r>
    <x v="0"/>
    <n v="25"/>
    <x v="0"/>
    <s v="901-649-5850"/>
    <s v="RAFAEL CHANCHAMIRE SA"/>
    <n v="251"/>
    <s v="-"/>
    <n v="50"/>
    <n v="5.99"/>
    <n v="4.87"/>
    <n v="2.57"/>
    <n v="63.43"/>
    <n v="63.43"/>
    <s v="Iphone"/>
    <s v="CHANCHAMIRE, RAFAEL A"/>
    <s v="SALES WEST"/>
    <s v="NO"/>
    <n v="25"/>
  </r>
  <r>
    <x v="0"/>
    <n v="25"/>
    <x v="0"/>
    <s v="901-713-7796"/>
    <s v="ANA CAROLINA FERRERIA"/>
    <n v="253"/>
    <n v="-35"/>
    <n v="50"/>
    <s v="-"/>
    <n v="4.2300000000000004"/>
    <n v="1.92"/>
    <n v="21.15"/>
    <n v="21.15"/>
    <s v="Iphone"/>
    <s v="FERREIRA, ANA CAROLINA"/>
    <s v="MERCHANDISER WEST"/>
    <s v="901-713-7796"/>
    <n v="15"/>
  </r>
  <r>
    <x v="0"/>
    <n v="25"/>
    <x v="1"/>
    <s v="629-257-4960"/>
    <s v="Group 7"/>
    <s v="6"/>
    <s v="-"/>
    <m/>
    <s v="$40.00"/>
    <s v="-"/>
    <s v="-"/>
    <s v="-"/>
    <n v="40"/>
    <s v="Samsung"/>
    <s v="Backup Internet"/>
    <s v="SALES CENTRAL"/>
    <s v="NO"/>
    <n v="25"/>
  </r>
  <r>
    <x v="0"/>
    <n v="25"/>
    <x v="1"/>
    <s v="629-257-4960"/>
    <s v="BACKUP INTERNET 1"/>
    <s v="13"/>
    <s v="-"/>
    <m/>
    <s v="$20.00"/>
    <s v="-"/>
    <s v="$3.75"/>
    <s v="-"/>
    <n v="23.75"/>
    <s v="Samsung"/>
    <s v="Backup Internet"/>
    <s v="SALES CENTRAL"/>
    <s v="NO"/>
    <n v="25"/>
  </r>
  <r>
    <x v="0"/>
    <n v="25"/>
    <x v="1"/>
    <s v="629-258-0227"/>
    <s v="Group 8"/>
    <s v="6"/>
    <s v="-"/>
    <m/>
    <s v="$40.00"/>
    <s v="-"/>
    <s v="-"/>
    <s v="-"/>
    <n v="40"/>
    <s v="Samsung"/>
    <s v="Backup Internet"/>
    <s v="SALES CENTRAL"/>
    <s v="NO"/>
    <n v="25"/>
  </r>
  <r>
    <x v="0"/>
    <n v="25"/>
    <x v="1"/>
    <s v="629-258-0227"/>
    <s v="BACKUP INTERNET 2"/>
    <s v="15"/>
    <s v="-"/>
    <m/>
    <s v="$20.00"/>
    <s v="-"/>
    <s v="$3.75"/>
    <s v="-"/>
    <n v="23.75"/>
    <s v="Samsung"/>
    <s v="Backup Internet"/>
    <s v="SALES CENTRAL"/>
    <s v="NO"/>
    <n v="25"/>
  </r>
  <r>
    <x v="0"/>
    <n v="25"/>
    <x v="1"/>
    <s v="Group 9"/>
    <s v="Group 9"/>
    <s v="7"/>
    <s v="-$16.00"/>
    <m/>
    <s v="-"/>
    <s v="-"/>
    <s v="-"/>
    <s v="-"/>
    <n v="-16"/>
    <s v="no aplica"/>
    <e v="#N/A"/>
    <e v="#N/A"/>
    <s v="NO"/>
    <n v="-16"/>
  </r>
  <r>
    <x v="0"/>
    <n v="25"/>
    <x v="1"/>
    <s v="Group 10"/>
    <s v="Group 10"/>
    <s v="7"/>
    <s v="-$16.00"/>
    <m/>
    <s v="-"/>
    <s v="-"/>
    <s v="-"/>
    <s v="-"/>
    <n v="-16"/>
    <s v="no aplica"/>
    <e v="#N/A"/>
    <e v="#N/A"/>
    <s v="NO"/>
    <n v="-16"/>
  </r>
  <r>
    <x v="0"/>
    <n v="25"/>
    <x v="1"/>
    <s v="Group 11"/>
    <s v="Group 11"/>
    <s v="7"/>
    <s v="-$16.00"/>
    <m/>
    <s v="-"/>
    <s v="-"/>
    <s v="-"/>
    <s v="-"/>
    <n v="-16"/>
    <s v="no aplica"/>
    <e v="#N/A"/>
    <e v="#N/A"/>
    <s v="NO"/>
    <n v="-16"/>
  </r>
  <r>
    <x v="0"/>
    <n v="25"/>
    <x v="1"/>
    <s v="Group 12"/>
    <s v="Group 12"/>
    <s v="8"/>
    <s v="-$16.00"/>
    <m/>
    <s v="-"/>
    <s v="-"/>
    <s v="-"/>
    <s v="-"/>
    <n v="-16"/>
    <s v="no aplica"/>
    <e v="#N/A"/>
    <e v="#N/A"/>
    <s v="NO"/>
    <n v="-16"/>
  </r>
  <r>
    <x v="0"/>
    <n v="25"/>
    <x v="1"/>
    <s v="Group 13"/>
    <s v="Group 13"/>
    <s v="8"/>
    <s v="-$16.00"/>
    <m/>
    <s v="-"/>
    <s v="-"/>
    <s v="-"/>
    <s v="-"/>
    <n v="-16"/>
    <s v="no aplica"/>
    <e v="#N/A"/>
    <e v="#N/A"/>
    <s v="NO"/>
    <n v="-16"/>
  </r>
  <r>
    <x v="0"/>
    <n v="25"/>
    <x v="1"/>
    <s v="Group 14"/>
    <s v="Group 14"/>
    <s v="9"/>
    <s v="-$16.00"/>
    <m/>
    <s v="-"/>
    <s v="-"/>
    <s v="-"/>
    <s v="-"/>
    <n v="-16"/>
    <s v="no aplica"/>
    <e v="#N/A"/>
    <e v="#N/A"/>
    <s v="NO"/>
    <n v="-16"/>
  </r>
  <r>
    <x v="0"/>
    <n v="25"/>
    <x v="1"/>
    <s v="Group 15"/>
    <s v="Group 15"/>
    <s v="9"/>
    <s v="-$16.00"/>
    <m/>
    <s v="-"/>
    <s v="-"/>
    <s v="-"/>
    <s v="-"/>
    <n v="-16"/>
    <s v="no aplica"/>
    <e v="#N/A"/>
    <e v="#N/A"/>
    <s v="NO"/>
    <n v="-16"/>
  </r>
  <r>
    <x v="0"/>
    <n v="25"/>
    <x v="1"/>
    <s v="Group 16"/>
    <s v="Group 16"/>
    <s v="9"/>
    <s v="-$16.00"/>
    <m/>
    <s v="-"/>
    <s v="-"/>
    <s v="-"/>
    <s v="-"/>
    <n v="-16"/>
    <s v="no aplica"/>
    <e v="#N/A"/>
    <e v="#N/A"/>
    <s v="NO"/>
    <n v="-16"/>
  </r>
  <r>
    <x v="0"/>
    <n v="25"/>
    <x v="1"/>
    <s v="Group 17"/>
    <s v="Group 17"/>
    <s v="10"/>
    <s v="-$16.00"/>
    <m/>
    <s v="-"/>
    <s v="-"/>
    <s v="-"/>
    <s v="-"/>
    <n v="-16"/>
    <s v="no aplica"/>
    <e v="#N/A"/>
    <e v="#N/A"/>
    <s v="NO"/>
    <n v="-16"/>
  </r>
  <r>
    <x v="0"/>
    <n v="25"/>
    <x v="1"/>
    <s v="Group 18"/>
    <s v="Group 18"/>
    <s v="10"/>
    <s v="-$16.00"/>
    <m/>
    <s v="-"/>
    <s v="-"/>
    <s v="-"/>
    <s v="-"/>
    <n v="-16"/>
    <s v="no aplica"/>
    <e v="#N/A"/>
    <e v="#N/A"/>
    <s v="NO"/>
    <n v="-16"/>
  </r>
  <r>
    <x v="0"/>
    <n v="25"/>
    <x v="1"/>
    <s v="Group 19"/>
    <s v="Group 19"/>
    <s v="11"/>
    <s v="-$16.00"/>
    <m/>
    <s v="-"/>
    <s v="-"/>
    <s v="-"/>
    <s v="-"/>
    <n v="-16"/>
    <s v="no aplica"/>
    <e v="#N/A"/>
    <e v="#N/A"/>
    <s v="NO"/>
    <n v="-16"/>
  </r>
  <r>
    <x v="0"/>
    <n v="25"/>
    <x v="1"/>
    <s v="205-527-8021"/>
    <s v="JOSE MAITE SA"/>
    <s v="17"/>
    <s v="-$11.33"/>
    <m/>
    <s v="$35.00"/>
    <s v="$5.00"/>
    <s v="$4.51"/>
    <s v="$2.68"/>
    <n v="35.86"/>
    <s v="Iphone"/>
    <s v="MAITA, JOSE"/>
    <s v="SALES SOUTH"/>
    <s v="NO"/>
    <n v="25"/>
  </r>
  <r>
    <x v="0"/>
    <n v="25"/>
    <x v="1"/>
    <s v="205-529-6296"/>
    <s v="ROSMARY SILVA"/>
    <s v="19"/>
    <s v="-$11.33"/>
    <m/>
    <s v="$35.00"/>
    <s v="-"/>
    <s v="$5.15"/>
    <s v="$2.88"/>
    <n v="31.7"/>
    <s v="Iphone"/>
    <s v="SILVA R, ROSMARY JOSE"/>
    <s v="SALES SOUTH"/>
    <s v="205-529-6296"/>
    <n v="15"/>
  </r>
  <r>
    <x v="0"/>
    <n v="25"/>
    <x v="1"/>
    <s v="205-767-8090"/>
    <s v="JESUS GUERRERO"/>
    <s v="21"/>
    <s v="-$11.33"/>
    <m/>
    <s v="$35.00"/>
    <s v="-"/>
    <s v="$5.15"/>
    <s v="$2.88"/>
    <n v="31.7"/>
    <s v="Iphone"/>
    <s v="GUERRERO, JESUS"/>
    <s v="SALES SOUTH"/>
    <s v="205-767-8090"/>
    <n v="15"/>
  </r>
  <r>
    <x v="0"/>
    <n v="25"/>
    <x v="1"/>
    <s v="256-631-4188"/>
    <s v="DANIEL FLORES IPAD SA"/>
    <s v="23"/>
    <s v="$12.00"/>
    <m/>
    <s v="$15.00"/>
    <s v="-"/>
    <s v="$3.75"/>
    <s v="-"/>
    <n v="30.75"/>
    <s v="Ipad"/>
    <s v="FLORES, JOSE DANIEL"/>
    <s v="SALES SOUTH"/>
    <s v="NO"/>
    <n v="25"/>
  </r>
  <r>
    <x v="0"/>
    <n v="25"/>
    <x v="1"/>
    <s v="256-724-1530"/>
    <s v="DANIEL FLORES SA"/>
    <s v="25"/>
    <s v="-$11.33"/>
    <m/>
    <s v="$35.00"/>
    <s v="$10.99"/>
    <s v="$4.51"/>
    <s v="$2.68"/>
    <n v="41.85"/>
    <s v="Iphone"/>
    <s v="FLORES, JOSE DANIEL"/>
    <s v="SALES SOUTH"/>
    <s v="NO"/>
    <n v="25"/>
  </r>
  <r>
    <x v="0"/>
    <n v="25"/>
    <x v="1"/>
    <s v="270-779-9642"/>
    <s v="AMALIA BENOCMO"/>
    <s v="27"/>
    <s v="$10.83"/>
    <m/>
    <s v="$25.00"/>
    <s v="-"/>
    <s v="$6.69"/>
    <s v="$3.23"/>
    <n v="45.75"/>
    <n v="0"/>
    <s v="backup"/>
    <s v="SALES CENTRAL"/>
    <s v="NO"/>
    <n v="25"/>
  </r>
  <r>
    <x v="0"/>
    <n v="25"/>
    <x v="1"/>
    <s v="314-309-4058"/>
    <s v="YESENIA LOPEZ"/>
    <s v="29"/>
    <s v="-$11.33"/>
    <m/>
    <s v="$35.00"/>
    <s v="$5.00"/>
    <s v="$4.51"/>
    <s v="$2.23"/>
    <n v="35.409999999999997"/>
    <s v="Iphone"/>
    <s v="LOPEZ, YESENIA"/>
    <s v="SALES WEST"/>
    <s v="NO"/>
    <n v="25"/>
  </r>
  <r>
    <x v="0"/>
    <n v="25"/>
    <x v="1"/>
    <s v="314-580-3315"/>
    <s v="VICTOR CAICEDO"/>
    <s v="31"/>
    <s v="$156.67"/>
    <m/>
    <s v="$35.00"/>
    <s v="-"/>
    <s v="$9.49"/>
    <s v="$5.54"/>
    <n v="206.7"/>
    <s v="Iphone"/>
    <s v="CAICEDO, VICTOR M"/>
    <s v="SALES WEST"/>
    <s v="314-580-3315"/>
    <n v="15"/>
  </r>
  <r>
    <x v="0"/>
    <n v="25"/>
    <x v="1"/>
    <s v="317-500-7156"/>
    <s v="NAYELY SORIANO"/>
    <s v="33"/>
    <s v="-$11.33"/>
    <m/>
    <s v="$35.00"/>
    <s v="-"/>
    <s v="$5.15"/>
    <s v="$2.88"/>
    <n v="31.7"/>
    <s v="Iphone"/>
    <s v="SORIANO, NAYELY"/>
    <s v="SALES NORTH"/>
    <s v="317-500-7156"/>
    <n v="15"/>
  </r>
  <r>
    <x v="0"/>
    <n v="25"/>
    <x v="1"/>
    <s v="423-321-4014"/>
    <s v="JUAN CARLOS CORADO"/>
    <s v="35"/>
    <s v="-$11.33"/>
    <m/>
    <s v="$35.00"/>
    <s v="-"/>
    <s v="$5.15"/>
    <s v="$2.88"/>
    <n v="31.7"/>
    <s v="Iphone"/>
    <s v="CORADO, JUAN CARLOS"/>
    <s v="SALES SOUTH"/>
    <s v="423-321-4014"/>
    <n v="15"/>
  </r>
  <r>
    <x v="0"/>
    <n v="25"/>
    <x v="1"/>
    <s v="463-209-9259"/>
    <s v="EDILIA SSHINE SA"/>
    <s v="37"/>
    <s v="-$11.33"/>
    <m/>
    <s v="$35.00"/>
    <s v="-"/>
    <s v="$4.51"/>
    <s v="$2.23"/>
    <n v="30.41"/>
    <s v="Iphone"/>
    <s v="SHINE, EDILIA D"/>
    <s v="SALES NORTH"/>
    <s v="NO"/>
    <n v="25"/>
  </r>
  <r>
    <x v="0"/>
    <n v="25"/>
    <x v="1"/>
    <s v="463-867-7910"/>
    <s v="NEW INDY USER DISTR..."/>
    <s v="39"/>
    <s v="-$35.00"/>
    <m/>
    <s v="-"/>
    <s v="$5.99"/>
    <s v="-$0.52"/>
    <s v="-$0.33"/>
    <n v="-29.86"/>
    <e v="#N/A"/>
    <e v="#N/A"/>
    <e v="#N/A"/>
    <s v="NO"/>
    <n v="-29.86"/>
  </r>
  <r>
    <x v="0"/>
    <n v="25"/>
    <x v="1"/>
    <s v="470-330-9757"/>
    <s v="KAREN ORELLANA"/>
    <s v="41"/>
    <s v="-$44.50"/>
    <m/>
    <s v="-"/>
    <s v="-"/>
    <s v="-$0.59"/>
    <s v="-$0.58"/>
    <n v="-45.67"/>
    <e v="#N/A"/>
    <e v="#N/A"/>
    <e v="#N/A"/>
    <s v="NO"/>
    <n v="-45.67"/>
  </r>
  <r>
    <x v="0"/>
    <n v="25"/>
    <x v="1"/>
    <s v="470-609-0538"/>
    <s v="DANIEL GARCIA"/>
    <s v="43"/>
    <s v="-$11.33"/>
    <m/>
    <s v="$35.00"/>
    <s v="-"/>
    <s v="$4.51"/>
    <s v="$2.12"/>
    <n v="30.3"/>
    <s v="no aplica"/>
    <s v="DANIEL GARCIA"/>
    <s v="ATLANTA"/>
    <s v="NO"/>
    <n v="25"/>
  </r>
  <r>
    <x v="0"/>
    <n v="25"/>
    <x v="1"/>
    <s v="470-609-0570"/>
    <s v="OSCAR BARRAGAN"/>
    <s v="45"/>
    <s v="-$11.33"/>
    <m/>
    <s v="$35.00"/>
    <s v="-"/>
    <s v="$4.51"/>
    <s v="$2.12"/>
    <n v="30.3"/>
    <s v="no aplica"/>
    <s v="OSCAR BARRAGAN"/>
    <s v="ATLANTA"/>
    <s v="NO"/>
    <n v="25"/>
  </r>
  <r>
    <x v="0"/>
    <n v="25"/>
    <x v="1"/>
    <s v="470-737-8596"/>
    <s v="ISRAEL LOPEZ"/>
    <s v="47"/>
    <s v="-$35.00"/>
    <m/>
    <s v="-"/>
    <s v="-"/>
    <s v="-$0.47"/>
    <s v="-$0.46"/>
    <n v="-35.93"/>
    <e v="#N/A"/>
    <e v="#N/A"/>
    <e v="#N/A"/>
    <s v="NO"/>
    <n v="-35.93"/>
  </r>
  <r>
    <x v="0"/>
    <n v="25"/>
    <x v="1"/>
    <s v="501-773-3738"/>
    <s v="SALES ARKANSAS"/>
    <s v="49"/>
    <s v="-$15.00"/>
    <m/>
    <s v="$15.00"/>
    <s v="-"/>
    <s v="$3.75"/>
    <s v="-"/>
    <n v="3.75"/>
    <s v="Ipad"/>
    <s v="VILLAVICENCIO, ARTURO J"/>
    <s v="SALES WEST"/>
    <s v="NO"/>
    <n v="25"/>
  </r>
  <r>
    <x v="0"/>
    <n v="25"/>
    <x v="1"/>
    <s v="501-773-3763"/>
    <s v="ARTURO VILLAVICENCIO"/>
    <s v="51"/>
    <s v="-$11.33"/>
    <m/>
    <s v="$35.00"/>
    <s v="-"/>
    <s v="$5.15"/>
    <s v="$2.88"/>
    <n v="31.7"/>
    <s v="Iphone"/>
    <s v="VILLAVICENCIO, ARTURO J"/>
    <s v="SALES WEST"/>
    <s v="501-773-3763"/>
    <n v="15"/>
  </r>
  <r>
    <x v="0"/>
    <n v="25"/>
    <x v="1"/>
    <s v="502-341-1558"/>
    <s v="DILVER GARCIA"/>
    <s v="53"/>
    <s v="-$29.66"/>
    <m/>
    <s v="$35.00"/>
    <s v="-"/>
    <s v="$5.61"/>
    <s v="$1.57"/>
    <n v="12.52"/>
    <n v="0"/>
    <s v="Backup  "/>
    <s v="SALES CENTRAL"/>
    <s v="502-341-1558"/>
    <n v="15"/>
  </r>
  <r>
    <x v="0"/>
    <n v="25"/>
    <x v="1"/>
    <s v="502-558-5770"/>
    <s v="JAVIER MOJICA LG"/>
    <s v="55"/>
    <s v="-"/>
    <m/>
    <s v="$25.00"/>
    <s v="-"/>
    <s v="$5.18"/>
    <s v="$2.46"/>
    <n v="32.64"/>
    <s v="Galaxy "/>
    <s v="MOJICA, FRANCISCO JAVIER"/>
    <s v="LOGISTICS CENTRAL"/>
    <s v="502-558-5770"/>
    <n v="15"/>
  </r>
  <r>
    <x v="0"/>
    <n v="25"/>
    <x v="1"/>
    <s v="502-974-3915"/>
    <s v="CLAUDIA ARMES"/>
    <s v="57"/>
    <s v="-$11.33"/>
    <m/>
    <s v="$35.00"/>
    <s v="-"/>
    <s v="$5.15"/>
    <s v="$2.88"/>
    <n v="31.7"/>
    <s v="Iphone"/>
    <s v="ARMES, CLAUDIA"/>
    <s v="SALES NORTH"/>
    <s v="502-974-3915"/>
    <n v="15"/>
  </r>
  <r>
    <x v="0"/>
    <n v="25"/>
    <x v="1"/>
    <s v="513-675-0865"/>
    <s v="IRIS CORDERO"/>
    <s v="59"/>
    <s v="-$11.33"/>
    <m/>
    <s v="$35.00"/>
    <s v="-"/>
    <s v="$5.15"/>
    <s v="$2.88"/>
    <n v="31.7"/>
    <s v="Iphone"/>
    <s v="CORDERO, IRIS"/>
    <s v="SALES NORTH"/>
    <s v="513-675-0865"/>
    <n v="15"/>
  </r>
  <r>
    <x v="0"/>
    <n v="25"/>
    <x v="1"/>
    <s v="513-720-1147"/>
    <s v="CINCINNATI LIMENA"/>
    <s v="61"/>
    <s v="-$11.33"/>
    <m/>
    <s v="$35.00"/>
    <s v="$5.00"/>
    <s v="$4.57"/>
    <s v="$0.97"/>
    <n v="34.21"/>
    <s v="Iphone"/>
    <s v="ALVAREZ PALOMARES M, PAULA MAYREN"/>
    <s v="MERCHANDISER NORTH"/>
    <s v="NO"/>
    <n v="25"/>
  </r>
  <r>
    <x v="0"/>
    <n v="25"/>
    <x v="1"/>
    <s v="601-910-8492"/>
    <s v="ROSMARY LACRUZ"/>
    <s v="63"/>
    <s v="-$11.33"/>
    <m/>
    <s v="$35.00"/>
    <s v="-"/>
    <s v="$5.15"/>
    <s v="$2.88"/>
    <n v="31.7"/>
    <s v="Iphone"/>
    <s v="LACRUZ, ROSMARY"/>
    <s v="SALES WEST"/>
    <s v="601-910-8492"/>
    <n v="15"/>
  </r>
  <r>
    <x v="0"/>
    <n v="25"/>
    <x v="1"/>
    <s v="615-207-2464"/>
    <s v="OSMAN CABRERA"/>
    <s v="65"/>
    <s v="-$11.33"/>
    <m/>
    <s v="$35.00"/>
    <s v="-"/>
    <s v="$5.15"/>
    <s v="$2.88"/>
    <n v="31.7"/>
    <s v="Iphone"/>
    <s v="CABRERA, OSMAN A"/>
    <s v="SALES CENTRAL"/>
    <s v="615-207-2464"/>
    <n v="15"/>
  </r>
  <r>
    <x v="0"/>
    <n v="25"/>
    <x v="1"/>
    <s v="615-299-3640"/>
    <s v="SIMON CASTELLANO"/>
    <s v="67"/>
    <s v="-"/>
    <m/>
    <s v="$25.00"/>
    <s v="-"/>
    <s v="$4.53"/>
    <s v="$4.27"/>
    <n v="33.799999999999997"/>
    <s v="Galaxy"/>
    <s v="DE LOS SANTOS, LUIS"/>
    <s v="LOGISTIC SOUTH"/>
    <s v="615-299-3640"/>
    <n v="15"/>
  </r>
  <r>
    <x v="0"/>
    <n v="25"/>
    <x v="1"/>
    <s v="615-299-3641"/>
    <s v="EDGAR FERNANDEZ LQ"/>
    <s v="69"/>
    <s v="-$18.78"/>
    <m/>
    <s v="$35.00"/>
    <s v="-"/>
    <s v="$4.51"/>
    <s v="$2.23"/>
    <n v="22.96"/>
    <s v="Motorola"/>
    <s v="FERNANDEZ, EDGAR"/>
    <s v="LOGISTICS CENTRAL"/>
    <s v="NO"/>
    <n v="25"/>
  </r>
  <r>
    <x v="0"/>
    <n v="25"/>
    <x v="1"/>
    <s v="615-305-1999"/>
    <s v="IPAD SALES"/>
    <s v="71"/>
    <s v="-$18.50"/>
    <m/>
    <s v="$10.00"/>
    <s v="-"/>
    <s v="-"/>
    <s v="-"/>
    <n v="-8.5"/>
    <e v="#N/A"/>
    <e v="#N/A"/>
    <e v="#N/A"/>
    <s v="NO"/>
    <n v="-8.5"/>
  </r>
  <r>
    <x v="0"/>
    <n v="25"/>
    <x v="1"/>
    <s v="615-310-9970"/>
    <s v="ALBERT CARDOZO"/>
    <s v="73"/>
    <s v="-"/>
    <m/>
    <s v="$15.00"/>
    <s v="-"/>
    <s v="$3.75"/>
    <s v="-"/>
    <n v="18.75"/>
    <s v="Ipad"/>
    <s v="CARDOZO, ALBERT YVAN"/>
    <s v="SALES RITEFILL DSD CENTRAL"/>
    <s v="615-310-9970"/>
    <n v="15"/>
  </r>
  <r>
    <x v="0"/>
    <n v="25"/>
    <x v="1"/>
    <s v="615-316-8577"/>
    <s v="HR LIMENA"/>
    <s v="75"/>
    <s v="-$11.33"/>
    <m/>
    <s v="$35.00"/>
    <s v="$25.00"/>
    <s v="$4.51"/>
    <s v="$2.23"/>
    <n v="55.41"/>
    <s v="Iphone"/>
    <s v="DUQUE IYENGAR, DANIELA"/>
    <s v="HR"/>
    <s v="NO"/>
    <n v="25"/>
  </r>
  <r>
    <x v="0"/>
    <n v="25"/>
    <x v="1"/>
    <s v="615-337-4949"/>
    <s v="DAVID CONDE WH"/>
    <s v="77"/>
    <s v="-$11.33"/>
    <m/>
    <s v="$35.00"/>
    <s v="-"/>
    <s v="$4.51"/>
    <s v="$2.23"/>
    <n v="30.41"/>
    <s v="Galaxy"/>
    <s v="CONDE TORRES, DAVID A"/>
    <s v="WAREHOUSE CENTRAL"/>
    <s v="NO"/>
    <n v="25"/>
  </r>
  <r>
    <x v="0"/>
    <n v="25"/>
    <x v="1"/>
    <s v="615-390-4624"/>
    <s v="HENRY ESQUIVEL"/>
    <s v="79"/>
    <s v="-$11.33"/>
    <m/>
    <s v="$35.00"/>
    <s v="-"/>
    <s v="$5.15"/>
    <s v="$2.88"/>
    <n v="31.7"/>
    <s v="Iphone"/>
    <s v="ESQUIVEL, HENRY"/>
    <s v="WAREHOUSE CENTRAL"/>
    <s v="615-390-4624"/>
    <n v="15"/>
  </r>
  <r>
    <x v="0"/>
    <n v="25"/>
    <x v="1"/>
    <s v="615-403-8760"/>
    <s v="MERARI VILLATORO"/>
    <s v="81"/>
    <s v="$96.67"/>
    <m/>
    <s v="$35.00"/>
    <s v="$38.89"/>
    <s v="$15.46"/>
    <s v="$5.36"/>
    <n v="191.38"/>
    <s v="Iphone"/>
    <s v="VILLATORO, MERARI"/>
    <s v="VP"/>
    <s v="NO"/>
    <n v="25"/>
  </r>
  <r>
    <x v="0"/>
    <n v="25"/>
    <x v="1"/>
    <s v="615-417-0015"/>
    <s v="JESSICA BARAJAS LA"/>
    <s v="83"/>
    <s v="-$11.33"/>
    <m/>
    <s v="$35.00"/>
    <s v="-"/>
    <s v="$4.51"/>
    <s v="$2.23"/>
    <n v="30.41"/>
    <s v="Iphone"/>
    <s v="BARAJAS, JESSICA"/>
    <s v="SALES NORTH"/>
    <s v="NO"/>
    <n v="25"/>
  </r>
  <r>
    <x v="0"/>
    <n v="25"/>
    <x v="1"/>
    <s v="615-417-9594"/>
    <s v="NICOLAS FINANZAS"/>
    <s v="85"/>
    <s v="-$11.33"/>
    <m/>
    <s v="$35.00"/>
    <s v="-"/>
    <s v="$4.51"/>
    <s v="$2.23"/>
    <n v="30.41"/>
    <s v="Iphone"/>
    <s v="QUIJANO, NICOLAS"/>
    <s v="CFO"/>
    <s v="NO"/>
    <n v="25"/>
  </r>
  <r>
    <x v="0"/>
    <n v="25"/>
    <x v="1"/>
    <s v="615-426-4622"/>
    <s v="ZEDRICK PATINO"/>
    <s v="87"/>
    <s v="-$11.33"/>
    <m/>
    <s v="$35.00"/>
    <s v="-"/>
    <s v="$4.51"/>
    <s v="$2.23"/>
    <n v="30.41"/>
    <s v="Iphone"/>
    <s v="PATINO, ZEDERICK"/>
    <s v="MERCHANDISER CENTRAL"/>
    <s v="NO"/>
    <n v="25"/>
  </r>
  <r>
    <x v="0"/>
    <n v="25"/>
    <x v="1"/>
    <s v="615-456-2536"/>
    <s v="DANNY CABANZO"/>
    <s v="89"/>
    <s v="-$11.33"/>
    <m/>
    <s v="$35.00"/>
    <s v="-"/>
    <s v="$5.15"/>
    <s v="$2.88"/>
    <n v="31.7"/>
    <s v="Iphone"/>
    <s v="CABANZO, DANNY"/>
    <s v="SALES CENTRAL"/>
    <s v="615-456-2536"/>
    <n v="15"/>
  </r>
  <r>
    <x v="0"/>
    <n v="25"/>
    <x v="1"/>
    <s v="615-476-5992"/>
    <s v="MONICA AYALA"/>
    <s v="91"/>
    <s v="-$44.50"/>
    <m/>
    <s v="-"/>
    <s v="-"/>
    <s v="-$0.59"/>
    <s v="-$0.58"/>
    <n v="-45.67"/>
    <e v="#N/A"/>
    <e v="#N/A"/>
    <e v="#N/A"/>
    <s v="NO"/>
    <n v="-45.67"/>
  </r>
  <r>
    <x v="0"/>
    <n v="25"/>
    <x v="1"/>
    <s v="615-477-6490"/>
    <s v="MERARI TWOLINE"/>
    <s v="93"/>
    <s v="$0.67"/>
    <m/>
    <s v="$35.00"/>
    <s v="$30.56"/>
    <s v="$4.82"/>
    <s v="$2.42"/>
    <n v="73.47"/>
    <s v="Iphone"/>
    <s v="VILLATORO, MERARI"/>
    <s v="VP"/>
    <s v="NO"/>
    <n v="25"/>
  </r>
  <r>
    <x v="0"/>
    <n v="25"/>
    <x v="1"/>
    <s v="615-496-8278"/>
    <s v="JOHAN MADRIZ"/>
    <s v="95"/>
    <s v="$84.67"/>
    <m/>
    <s v="$35.00"/>
    <s v="$38.89"/>
    <s v="$11.07"/>
    <s v="$4.46"/>
    <n v="174.09"/>
    <s v="Iphone"/>
    <s v="MADRIZ, JOHAN"/>
    <s v="President"/>
    <s v="NO"/>
    <n v="25"/>
  </r>
  <r>
    <x v="0"/>
    <n v="25"/>
    <x v="1"/>
    <s v="615-585-1725"/>
    <s v="SALES DSD IPAD"/>
    <s v="97"/>
    <s v="$8.50"/>
    <m/>
    <s v="$10.00"/>
    <s v="-"/>
    <s v="-"/>
    <s v="-"/>
    <n v="18.5"/>
    <s v="Ipad"/>
    <e v="#N/A"/>
    <e v="#N/A"/>
    <s v="NO"/>
    <n v="25"/>
  </r>
  <r>
    <x v="0"/>
    <n v="25"/>
    <x v="1"/>
    <s v="615-586-0725"/>
    <s v="YESENIA LOPEZ SA"/>
    <s v="99"/>
    <s v="-$15.00"/>
    <m/>
    <s v="$15.00"/>
    <s v="-"/>
    <s v="$3.75"/>
    <s v="-"/>
    <n v="3.75"/>
    <s v="Ipad"/>
    <s v="LOPEZ, YESENIA"/>
    <s v="SALES WEST"/>
    <s v="NO"/>
    <n v="25"/>
  </r>
  <r>
    <x v="0"/>
    <n v="25"/>
    <x v="1"/>
    <s v="615-586-4787"/>
    <s v="JOSE MAITA IPAD"/>
    <s v="101"/>
    <s v="-$15.00"/>
    <m/>
    <s v="$15.00"/>
    <s v="-"/>
    <s v="$3.75"/>
    <s v="-"/>
    <n v="3.75"/>
    <s v="Ipad"/>
    <s v="MAITA, JOSE"/>
    <s v="SALES SOUTH"/>
    <s v="NO"/>
    <n v="25"/>
  </r>
  <r>
    <x v="0"/>
    <n v="25"/>
    <x v="1"/>
    <s v="615-589-2741"/>
    <s v="ROSMARY SILVA IPAD"/>
    <s v="103"/>
    <s v="-$15.00"/>
    <m/>
    <s v="$15.00"/>
    <s v="-"/>
    <s v="$3.75"/>
    <s v="-"/>
    <n v="3.75"/>
    <s v="Ipad"/>
    <s v="SILVA R, ROSMARY JOSE"/>
    <s v="SALES SOUTH"/>
    <s v="NO"/>
    <n v="25"/>
  </r>
  <r>
    <x v="0"/>
    <n v="25"/>
    <x v="1"/>
    <s v="615-589-4199"/>
    <s v="ELIZABETH PELAEZ"/>
    <s v="105"/>
    <s v="-$11.33"/>
    <m/>
    <s v="$35.00"/>
    <s v="$10.99"/>
    <s v="$4.51"/>
    <s v="$2.23"/>
    <n v="41.4"/>
    <s v="Iphone"/>
    <s v="PELAEZ, ELIZABETH"/>
    <s v="SALES CENTRAL"/>
    <s v="NO"/>
    <n v="25"/>
  </r>
  <r>
    <x v="0"/>
    <n v="25"/>
    <x v="1"/>
    <s v="615-626-2116"/>
    <s v="DILVER GARCIA"/>
    <s v="107"/>
    <s v="-$11.33"/>
    <m/>
    <s v="$35.00"/>
    <s v="-"/>
    <s v="$5.15"/>
    <s v="$2.88"/>
    <n v="31.7"/>
    <s v="Iphone"/>
    <s v="SUAREZ LEZCANO, FERNANDO M"/>
    <s v="SALES RITEFILL DSD CENTRAL"/>
    <s v="615-626-2116"/>
    <n v="15"/>
  </r>
  <r>
    <x v="0"/>
    <n v="25"/>
    <x v="1"/>
    <s v="615-626-2756"/>
    <s v="LIZET NAJERA"/>
    <s v="109"/>
    <s v="-$11.33"/>
    <m/>
    <s v="$35.00"/>
    <s v="-"/>
    <s v="$5.15"/>
    <s v="$2.88"/>
    <n v="31.7"/>
    <s v="Iphone"/>
    <s v="NAJERA, LIZET"/>
    <s v="SALES NORTH"/>
    <s v="615-626-2756"/>
    <n v="15"/>
  </r>
  <r>
    <x v="0"/>
    <n v="25"/>
    <x v="1"/>
    <s v="615-626-3208"/>
    <s v="ALEJANDRA LOPEZ"/>
    <s v="111"/>
    <s v="-$11.33"/>
    <m/>
    <s v="$35.00"/>
    <s v="-"/>
    <s v="$5.15"/>
    <s v="$2.88"/>
    <n v="31.7"/>
    <s v="Iphone"/>
    <s v="LOPEZ, ALEJANDRA C"/>
    <s v="SALES WEST"/>
    <s v="615-626-3208"/>
    <n v="15"/>
  </r>
  <r>
    <x v="0"/>
    <n v="25"/>
    <x v="1"/>
    <s v="615-626-3219"/>
    <s v="ZULLYMAR TOVAR"/>
    <s v="113"/>
    <s v="-$11.33"/>
    <m/>
    <s v="$35.00"/>
    <s v="-"/>
    <s v="$5.15"/>
    <s v="$2.88"/>
    <n v="31.7"/>
    <n v="0"/>
    <s v="TOVAR, ZULLYMAR"/>
    <s v="SALES CENTRAL"/>
    <s v="615-626-3219"/>
    <n v="15"/>
  </r>
  <r>
    <x v="0"/>
    <n v="25"/>
    <x v="1"/>
    <s v="615-626-4243"/>
    <s v="JOSE HERRERA"/>
    <s v="115"/>
    <s v="-$5.33"/>
    <m/>
    <s v="$35.00"/>
    <s v="$23.44"/>
    <s v="$6.71"/>
    <s v="$2.68"/>
    <n v="62.5"/>
    <s v="Iphone"/>
    <s v="HERRERA MOLINA, JOSE CARLOS"/>
    <s v="CEO"/>
    <s v="NO"/>
    <n v="25"/>
  </r>
  <r>
    <x v="0"/>
    <n v="25"/>
    <x v="1"/>
    <s v="615-674-8479"/>
    <s v="JORGE PRADO"/>
    <s v="117"/>
    <s v="-$21.33"/>
    <m/>
    <s v="$35.00"/>
    <s v="$25.00"/>
    <s v="$4.39"/>
    <s v="-$2.88"/>
    <n v="40.18"/>
    <s v="Iphone"/>
    <s v="PRADO, JORGE A"/>
    <s v="COO"/>
    <s v="NO"/>
    <n v="25"/>
  </r>
  <r>
    <x v="0"/>
    <n v="25"/>
    <x v="1"/>
    <s v="615-691-3166"/>
    <s v="WAREHOUSE TN NASHVILLE"/>
    <s v="119"/>
    <s v="-$11.33"/>
    <m/>
    <s v="$35.00"/>
    <s v="-"/>
    <s v="$4.51"/>
    <s v="$2.23"/>
    <n v="30.41"/>
    <s v="Iphone"/>
    <s v="QUIJANO, NICOLAS"/>
    <s v="CFO"/>
    <s v="NO"/>
    <n v="25"/>
  </r>
  <r>
    <x v="0"/>
    <n v="25"/>
    <x v="1"/>
    <s v="615-708-0397"/>
    <s v="JOHAN TWOLINE"/>
    <s v="121"/>
    <s v="$65.22"/>
    <m/>
    <s v="$35.00"/>
    <s v="$33.34"/>
    <s v="$6.99"/>
    <s v="$3.75"/>
    <n v="144.30000000000001"/>
    <s v="Iphone"/>
    <s v="MADRIZ, JOHAN"/>
    <s v="President"/>
    <s v="NO"/>
    <n v="25"/>
  </r>
  <r>
    <x v="0"/>
    <n v="25"/>
    <x v="1"/>
    <s v="615-730-3104"/>
    <s v="IVAN TELLO SA"/>
    <s v="123"/>
    <s v="-$11.33"/>
    <m/>
    <s v="$35.00"/>
    <s v="$5.00"/>
    <s v="$4.51"/>
    <s v="$2.23"/>
    <n v="35.409999999999997"/>
    <s v="Iphone"/>
    <s v="TELLO, IVAN E"/>
    <s v="SALES CENTRAL"/>
    <s v="NO"/>
    <n v="25"/>
  </r>
  <r>
    <x v="0"/>
    <n v="25"/>
    <x v="1"/>
    <s v="615-768-6114"/>
    <s v="ELISA GECHELE IPAD"/>
    <s v="125"/>
    <s v="-"/>
    <m/>
    <s v="$15.00"/>
    <s v="-"/>
    <s v="$3.75"/>
    <s v="-"/>
    <n v="18.75"/>
    <s v="Ipad"/>
    <s v="SILVA, ELISA"/>
    <s v="SALES WEST"/>
    <s v="NO"/>
    <n v="25"/>
  </r>
  <r>
    <x v="0"/>
    <n v="25"/>
    <x v="1"/>
    <s v="615-795-8193"/>
    <s v="ANDRES FUENMAYOR"/>
    <s v="127"/>
    <s v="-$29.66"/>
    <m/>
    <s v="$35.00"/>
    <s v="-"/>
    <s v="$5.15"/>
    <s v="$2.88"/>
    <n v="13.37"/>
    <s v="Galaxy "/>
    <s v="REMBERT, ANTORIUS DAVUN"/>
    <s v="LOGISTICS SOUTH"/>
    <s v="615-795-8193"/>
    <n v="15"/>
  </r>
  <r>
    <x v="0"/>
    <n v="25"/>
    <x v="1"/>
    <s v="615-795-8195"/>
    <s v="MERVIN FERERR"/>
    <s v="129"/>
    <s v="-$29.66"/>
    <m/>
    <s v="$35.00"/>
    <s v="-"/>
    <s v="$5.15"/>
    <s v="$2.88"/>
    <n v="13.37"/>
    <s v="Galaxy "/>
    <s v="FERRER BRACHO, MERVIN J"/>
    <s v="LOGISTICS CENTRAL"/>
    <s v="615-795-8195"/>
    <n v="15"/>
  </r>
  <r>
    <x v="0"/>
    <n v="25"/>
    <x v="1"/>
    <s v="615-804-0516"/>
    <s v="YULIN REYES"/>
    <s v="131"/>
    <s v="-$11.33"/>
    <m/>
    <s v="$35.00"/>
    <s v="-"/>
    <s v="$5.15"/>
    <s v="$2.88"/>
    <n v="31.7"/>
    <s v="Iphone"/>
    <s v="REYES, YULIN"/>
    <s v="SALES CENTRAL"/>
    <s v="615-804-0516"/>
    <n v="15"/>
  </r>
  <r>
    <x v="0"/>
    <n v="25"/>
    <x v="1"/>
    <s v="615-812-5934"/>
    <s v="ELISA SILVA"/>
    <s v="133"/>
    <s v="-$11.33"/>
    <m/>
    <s v="$35.00"/>
    <s v="-"/>
    <s v="$4.51"/>
    <s v="$2.23"/>
    <n v="30.41"/>
    <s v="Iphone"/>
    <s v="QUEVEDO, NAIROVI Y"/>
    <s v="SALES WEST"/>
    <s v="NO"/>
    <n v="25"/>
  </r>
  <r>
    <x v="0"/>
    <n v="25"/>
    <x v="1"/>
    <s v="615-821-3185"/>
    <s v="DSD IPHONE ALABAMA"/>
    <s v="135"/>
    <s v="$1.17"/>
    <m/>
    <s v="-"/>
    <s v="-"/>
    <s v="$0.02"/>
    <s v="$0.11"/>
    <n v="1.3"/>
    <s v="Iphone"/>
    <s v="DSD IPHONE ALABAMA"/>
    <s v="SALES RITEFILL DSD SOUTH"/>
    <s v="NO"/>
    <n v="1.3"/>
  </r>
  <r>
    <x v="0"/>
    <n v="25"/>
    <x v="1"/>
    <s v="615-821-6036"/>
    <s v="AMALIA BENOCMO"/>
    <s v="137"/>
    <s v="$1.17"/>
    <m/>
    <s v="-"/>
    <s v="-"/>
    <s v="$0.02"/>
    <s v="$0.11"/>
    <n v="1.3"/>
    <s v="Iphone"/>
    <s v="AMALIA BENOCMO"/>
    <s v="SALES CENTRAL"/>
    <s v="NO"/>
    <n v="1.3"/>
  </r>
  <r>
    <x v="0"/>
    <n v="25"/>
    <x v="1"/>
    <s v="615-821-7053"/>
    <s v="IPADAMALIA BENOCMO"/>
    <s v="139"/>
    <s v="$7.00"/>
    <m/>
    <s v="$15.00"/>
    <s v="-"/>
    <s v="$3.75"/>
    <s v="-"/>
    <n v="25.75"/>
    <s v="Ipad"/>
    <s v="MACHIN BENCOMO, AMALIA"/>
    <s v="SALES CENTRAL"/>
    <s v="NO"/>
    <n v="25"/>
  </r>
  <r>
    <x v="0"/>
    <n v="25"/>
    <x v="1"/>
    <s v="615-821-8577"/>
    <s v="RENYA VIVAS DSD"/>
    <s v="141"/>
    <s v="$67.47"/>
    <m/>
    <s v="$15.00"/>
    <s v="-"/>
    <s v="$3.75"/>
    <s v="-"/>
    <n v="86.22"/>
    <s v="Iphone"/>
    <s v="RENYA VIVAS DSD"/>
    <s v="SALES RITEFILL DSD WEST"/>
    <s v="NO"/>
    <n v="25"/>
  </r>
  <r>
    <x v="0"/>
    <n v="25"/>
    <x v="1"/>
    <s v="615-828-8926"/>
    <s v="LEONARDO PALENCIA SA"/>
    <s v="143"/>
    <s v="-$11.33"/>
    <m/>
    <s v="$35.00"/>
    <s v="$5.00"/>
    <s v="$4.51"/>
    <s v="$2.23"/>
    <n v="35.409999999999997"/>
    <s v="Iphone"/>
    <s v="PALENCIA RODRIGUEZ, LEONARDO R"/>
    <s v="SALES CENTRAL"/>
    <s v="NO"/>
    <n v="25"/>
  </r>
  <r>
    <x v="0"/>
    <n v="25"/>
    <x v="1"/>
    <s v="615-830-4944"/>
    <s v="YULIER PEREZ"/>
    <s v="145"/>
    <s v="-$29.66"/>
    <m/>
    <s v="$35.00"/>
    <s v="-"/>
    <s v="$5.15"/>
    <s v="$2.88"/>
    <n v="13.37"/>
    <s v="Galaxy "/>
    <s v="PEREZ, YULIER"/>
    <s v="LOGISTICS CENTRAL"/>
    <s v="615-830-4944"/>
    <n v="15"/>
  </r>
  <r>
    <x v="0"/>
    <n v="25"/>
    <x v="1"/>
    <s v="615-830-6700"/>
    <s v="NICOLAS QUIJANO 2"/>
    <s v="147"/>
    <s v="-$13.00"/>
    <m/>
    <s v="$35.00"/>
    <s v="-"/>
    <s v="$4.49"/>
    <s v="$2.21"/>
    <n v="28.7"/>
    <s v="Iphone"/>
    <s v="QUIJANO, NICOLAS"/>
    <s v="CFO"/>
    <s v="NO"/>
    <n v="25"/>
  </r>
  <r>
    <x v="0"/>
    <n v="25"/>
    <x v="1"/>
    <s v="615-840-0789"/>
    <s v="NAYRE PEREZ"/>
    <s v="149"/>
    <s v="$0.67"/>
    <m/>
    <s v="$35.00"/>
    <s v="-"/>
    <s v="$9.54"/>
    <s v="$3.78"/>
    <n v="48.99"/>
    <s v="Iphone"/>
    <s v="PEREZ HERNANDEZ, NAYRE"/>
    <s v="SALES CENTRAL"/>
    <s v="615-840-0789"/>
    <n v="15"/>
  </r>
  <r>
    <x v="0"/>
    <n v="25"/>
    <x v="1"/>
    <s v="615-854-5649"/>
    <s v="MARCELA ROA"/>
    <s v="151"/>
    <s v="-$11.33"/>
    <m/>
    <s v="$35.00"/>
    <s v="-"/>
    <s v="$5.15"/>
    <s v="$2.88"/>
    <n v="31.7"/>
    <s v="Iphone"/>
    <s v="ROA, INGRID MARCELA"/>
    <s v="SALES SOUTH"/>
    <s v="615-854-5649"/>
    <n v="15"/>
  </r>
  <r>
    <x v="0"/>
    <n v="25"/>
    <x v="1"/>
    <s v="615-854-5797"/>
    <s v="CAROLINA TORREALBA"/>
    <s v="153"/>
    <s v="-$11.33"/>
    <m/>
    <s v="$35.00"/>
    <s v="-"/>
    <s v="$5.15"/>
    <s v="$2.88"/>
    <n v="31.7"/>
    <s v="Iphone"/>
    <s v="TORREALBA TORRES, CAROLINA"/>
    <s v="SALES WEST"/>
    <s v="615-854-5797"/>
    <n v="15"/>
  </r>
  <r>
    <x v="0"/>
    <n v="25"/>
    <x v="1"/>
    <s v="615-862-1976"/>
    <s v="JORGE TENGREDI"/>
    <s v="155"/>
    <s v="-$29.66"/>
    <m/>
    <s v="$35.00"/>
    <s v="-"/>
    <s v="$5.15"/>
    <s v="$2.88"/>
    <n v="13.37"/>
    <s v="Galaxy "/>
    <s v="TANGREDI, JORGE"/>
    <s v="LOGISTICS CENTRAL"/>
    <s v="615-862-1976"/>
    <n v="15"/>
  </r>
  <r>
    <x v="0"/>
    <n v="25"/>
    <x v="1"/>
    <s v="615-862-9402"/>
    <s v="RUDY BAHENA LG"/>
    <s v="157"/>
    <s v="-$11.33"/>
    <m/>
    <s v="$35.00"/>
    <s v="-"/>
    <s v="$4.51"/>
    <s v="$2.23"/>
    <n v="30.41"/>
    <s v="Galaxy"/>
    <s v="BAHENA, RUDY"/>
    <s v="LOGISTICS WEST"/>
    <s v="NO"/>
    <n v="25"/>
  </r>
  <r>
    <x v="0"/>
    <n v="25"/>
    <x v="1"/>
    <s v="615-878-0405"/>
    <s v="LUIS PARADA"/>
    <s v="159"/>
    <s v="-$11.33"/>
    <m/>
    <s v="$35.00"/>
    <s v="-"/>
    <s v="$5.15"/>
    <s v="$2.88"/>
    <n v="31.7"/>
    <s v="Samsung"/>
    <s v="TORRES, LUIS"/>
    <s v="MERCHANDISER NORTH"/>
    <s v="615-878-0405"/>
    <n v="15"/>
  </r>
  <r>
    <x v="0"/>
    <n v="25"/>
    <x v="1"/>
    <s v="615-879-8762"/>
    <s v="ANDRES FUENMAYOR"/>
    <s v="161"/>
    <s v="-$29.66"/>
    <m/>
    <s v="$35.00"/>
    <s v="-"/>
    <s v="$5.15"/>
    <s v="$2.88"/>
    <n v="13.37"/>
    <s v="Galaxy "/>
    <s v="FUENMAYOR, ANDRES"/>
    <s v="LOGISTICS CENTRAL"/>
    <s v="615-879-8762"/>
    <n v="15"/>
  </r>
  <r>
    <x v="0"/>
    <n v="25"/>
    <x v="1"/>
    <s v="615-906-5129"/>
    <s v="RUDY BAHENA"/>
    <s v="163"/>
    <s v="-$29.66"/>
    <m/>
    <s v="$35.00"/>
    <s v="-"/>
    <s v="$5.15"/>
    <s v="$2.88"/>
    <n v="13.37"/>
    <s v="Galaxy "/>
    <s v="BAHENA, RUDY"/>
    <s v="LOGISTICS WEST"/>
    <s v="615-906-5129"/>
    <n v="15"/>
  </r>
  <r>
    <x v="0"/>
    <n v="25"/>
    <x v="1"/>
    <s v="615-939-6293"/>
    <s v="GABRIEL NASHVILLE"/>
    <s v="165"/>
    <s v="-$36.50"/>
    <m/>
    <s v="-"/>
    <s v="-"/>
    <s v="-$0.41"/>
    <s v="-$0.41"/>
    <n v="-37.32"/>
    <s v="Samsung"/>
    <e v="#N/A"/>
    <e v="#N/A"/>
    <s v="NO"/>
    <n v="-37.32"/>
  </r>
  <r>
    <x v="0"/>
    <n v="25"/>
    <x v="1"/>
    <s v="615-939-8241"/>
    <s v="ALBERT CARDOZO"/>
    <s v="167"/>
    <s v="-$11.33"/>
    <m/>
    <s v="$35.00"/>
    <s v="-"/>
    <s v="$5.15"/>
    <s v="$2.88"/>
    <n v="31.7"/>
    <s v="Iphone"/>
    <s v="CARDOZO, ALBERT YVAN"/>
    <s v="SALES RITEFILL DSD CENTRAL"/>
    <s v="615-939-8241"/>
    <n v="15"/>
  </r>
  <r>
    <x v="0"/>
    <n v="25"/>
    <x v="1"/>
    <s v="615-939-9582"/>
    <s v="EDWIN GONZALEZ"/>
    <s v="169"/>
    <s v="-$11.33"/>
    <m/>
    <s v="$35.00"/>
    <s v="-"/>
    <s v="$4.51"/>
    <s v="$2.23"/>
    <n v="30.41"/>
    <s v="Galaxy"/>
    <s v="CASTILLO DUARTE, JOSE EDUARDO"/>
    <s v="Finance"/>
    <s v="NO"/>
    <n v="25"/>
  </r>
  <r>
    <x v="0"/>
    <n v="25"/>
    <x v="1"/>
    <s v="615-944-5380"/>
    <s v="LEONARDO PALENCIA I..."/>
    <s v="171"/>
    <s v="$12.00"/>
    <m/>
    <s v="$15.00"/>
    <s v="-"/>
    <s v="$3.75"/>
    <s v="-"/>
    <n v="30.75"/>
    <s v="Ipad"/>
    <s v="PALENCIA RODRIGUEZ, LEONARDO R"/>
    <s v="SALES CENTRAL"/>
    <s v="NO"/>
    <n v="25"/>
  </r>
  <r>
    <x v="0"/>
    <n v="25"/>
    <x v="1"/>
    <s v="615-945-4365"/>
    <s v="IVAN TELLO IPAD"/>
    <s v="173"/>
    <s v="$12.00"/>
    <m/>
    <s v="$15.00"/>
    <s v="-"/>
    <s v="$3.75"/>
    <s v="-"/>
    <n v="30.75"/>
    <s v="Ipad"/>
    <s v="TELLO, IVAN E"/>
    <s v="SALES CENTRAL"/>
    <s v="NO"/>
    <n v="25"/>
  </r>
  <r>
    <x v="0"/>
    <n v="25"/>
    <x v="1"/>
    <s v="615-961-5944"/>
    <s v="JOSE BURGOS"/>
    <s v="175"/>
    <s v="-$11.33"/>
    <m/>
    <s v="$35.00"/>
    <s v="-"/>
    <s v="$5.15"/>
    <s v="$2.88"/>
    <n v="31.7"/>
    <s v="Iphone"/>
    <s v="SILVA, ELISA"/>
    <s v="SALES WEST"/>
    <s v="615-961-5944"/>
    <n v="15"/>
  </r>
  <r>
    <x v="0"/>
    <n v="25"/>
    <x v="1"/>
    <s v="615-967-4046"/>
    <s v="AUGUSTO IPAD"/>
    <s v="177"/>
    <s v="$14.00"/>
    <m/>
    <s v="$15.00"/>
    <s v="-"/>
    <s v="$3.75"/>
    <s v="-"/>
    <n v="32.75"/>
    <s v="Ipad"/>
    <s v="RIOS BLANDON, AUGUSTO C"/>
    <s v="SALES NORTH"/>
    <s v="NO"/>
    <n v="25"/>
  </r>
  <r>
    <x v="0"/>
    <n v="25"/>
    <x v="1"/>
    <s v="615-969-5642"/>
    <s v="KARLA SOLIS"/>
    <s v="179"/>
    <s v="-$11.33"/>
    <m/>
    <s v="$35.00"/>
    <s v="-"/>
    <s v="$4.51"/>
    <s v="$2.23"/>
    <n v="30.41"/>
    <s v="Iphone"/>
    <s v="SOLIS SAN ANDRES, KARLA G"/>
    <s v="SALES WEST"/>
    <s v="NO"/>
    <n v="25"/>
  </r>
  <r>
    <x v="0"/>
    <n v="25"/>
    <x v="1"/>
    <s v="615-984-9515"/>
    <s v="DILVER GARCIA IPAD"/>
    <s v="181"/>
    <s v="$2.00"/>
    <m/>
    <s v="$15.00"/>
    <s v="-"/>
    <s v="$3.75"/>
    <s v="-"/>
    <n v="20.75"/>
    <s v="Galaxy "/>
    <s v="SUAREZ LEZCANO, FERNANDO M"/>
    <s v="SALES RITEFILL DSD CENTRAL"/>
    <s v="NO"/>
    <n v="25"/>
  </r>
  <r>
    <x v="0"/>
    <n v="25"/>
    <x v="1"/>
    <s v="629-239-0377"/>
    <s v="CARMEN LONGA LG"/>
    <s v="183"/>
    <s v="-$11.33"/>
    <m/>
    <s v="$35.00"/>
    <s v="-"/>
    <s v="$4.51"/>
    <s v="$2.23"/>
    <n v="30.41"/>
    <s v="Iphone"/>
    <s v="LONGA, CARMEN B"/>
    <s v="LOGISTICS WEST"/>
    <s v="NO"/>
    <n v="25"/>
  </r>
  <r>
    <x v="0"/>
    <n v="25"/>
    <x v="1"/>
    <s v="629-239-0999"/>
    <s v="JOSE LUCIO"/>
    <s v="185"/>
    <s v="-$11.33"/>
    <m/>
    <s v="$35.00"/>
    <s v="-"/>
    <s v="$5.15"/>
    <s v="$2.88"/>
    <n v="31.7"/>
    <s v="Iphone"/>
    <s v="LUCIO FLORES, JOSE ANGEL"/>
    <s v="SALES NORTH"/>
    <s v="629-239-0999"/>
    <n v="15"/>
  </r>
  <r>
    <x v="0"/>
    <n v="25"/>
    <x v="1"/>
    <s v="629-256-6967"/>
    <s v="YNGEL GUTIERREZ"/>
    <s v="187"/>
    <s v="-$15.00"/>
    <m/>
    <s v="$15.00"/>
    <s v="-"/>
    <s v="$3.75"/>
    <s v="-"/>
    <n v="3.75"/>
    <s v="Ipad"/>
    <s v="GUTIERREZ TOVAR, YNGEL J"/>
    <s v="SALES CENTRAL"/>
    <s v="NO"/>
    <n v="25"/>
  </r>
  <r>
    <x v="0"/>
    <n v="25"/>
    <x v="1"/>
    <s v="629-256-9168"/>
    <s v="YNGEL GUTIERREZ"/>
    <s v="189"/>
    <s v="-$11.33"/>
    <m/>
    <s v="$35.00"/>
    <s v="-"/>
    <s v="$5.15"/>
    <s v="$2.88"/>
    <n v="31.7"/>
    <s v="Iphone"/>
    <s v="GUTIERREZ TOVAR, YNGEL J"/>
    <s v="SALES CENTRAL"/>
    <s v="629-256-9168"/>
    <n v="15"/>
  </r>
  <r>
    <x v="0"/>
    <n v="25"/>
    <x v="1"/>
    <s v="629-264-3070"/>
    <s v="RICARDO BRITO HR"/>
    <s v="191"/>
    <s v="-$11.33"/>
    <m/>
    <s v="$35.00"/>
    <s v="-"/>
    <s v="$4.51"/>
    <s v="$2.23"/>
    <n v="30.41"/>
    <s v="Iphone"/>
    <s v="BRITO SALAZAR, RICARDO JOSE"/>
    <s v="HR"/>
    <s v="NO"/>
    <n v="25"/>
  </r>
  <r>
    <x v="0"/>
    <n v="25"/>
    <x v="1"/>
    <s v="629-285-9899"/>
    <s v="MIGUEL ZUBILLAGA"/>
    <s v="193"/>
    <s v="-$11.33"/>
    <m/>
    <s v="$35.00"/>
    <s v="$20.00"/>
    <s v="$4.51"/>
    <s v="$2.23"/>
    <n v="50.41"/>
    <s v="Iphone"/>
    <s v="LODYGENSKY, ISABELE"/>
    <s v="Corpotative ESG 110002"/>
    <s v="NO"/>
    <n v="25"/>
  </r>
  <r>
    <x v="0"/>
    <n v="25"/>
    <x v="1"/>
    <s v="629-318-8877"/>
    <s v="IPADALA BAMADSD"/>
    <s v="195"/>
    <s v="$12.50"/>
    <m/>
    <s v="$15.00"/>
    <s v="-"/>
    <s v="$3.75"/>
    <s v="-"/>
    <n v="31.25"/>
    <s v="Ipad"/>
    <n v="0"/>
    <s v="SALES RITEFILL DSD SOUTH"/>
    <s v="NO"/>
    <n v="25"/>
  </r>
  <r>
    <x v="0"/>
    <n v="25"/>
    <x v="1"/>
    <s v="629-318-9009"/>
    <s v="IPAD DE NACOMY"/>
    <s v="197"/>
    <s v="-$3.50"/>
    <m/>
    <s v="$10.00"/>
    <s v="-"/>
    <s v="-"/>
    <s v="-"/>
    <n v="6.5"/>
    <s v="Ipad"/>
    <e v="#N/A"/>
    <e v="#N/A"/>
    <s v="NO"/>
    <n v="25"/>
  </r>
  <r>
    <x v="0"/>
    <n v="25"/>
    <x v="1"/>
    <s v="629-318-9109"/>
    <s v="IPADREYNA VIVASDSD"/>
    <s v="199"/>
    <s v="$10.50"/>
    <m/>
    <s v="$15.00"/>
    <s v="-"/>
    <s v="$3.75"/>
    <s v="-"/>
    <n v="29.25"/>
    <s v="Ipad"/>
    <s v="VIVAS, REYNA E"/>
    <s v="SALES RITEFILL DSD WEST"/>
    <s v="NO"/>
    <n v="25"/>
  </r>
  <r>
    <x v="0"/>
    <n v="25"/>
    <x v="1"/>
    <s v="629-345-1182"/>
    <s v="ROSMARY LA CRUZ IPA..."/>
    <s v="201"/>
    <s v="$12.00"/>
    <m/>
    <s v="$15.00"/>
    <s v="-"/>
    <s v="$3.75"/>
    <s v="-"/>
    <n v="30.75"/>
    <s v="Ipad"/>
    <s v="LACRUZ, ROSMARY"/>
    <s v="SALES WEST"/>
    <s v="NO"/>
    <n v="25"/>
  </r>
  <r>
    <x v="0"/>
    <n v="25"/>
    <x v="1"/>
    <s v="629-345-1381"/>
    <s v="IPHONE 14"/>
    <s v="203"/>
    <s v="-$2.33"/>
    <m/>
    <s v="$35.00"/>
    <s v="$1.82"/>
    <s v="$4.85"/>
    <s v="$2.56"/>
    <n v="41.9"/>
    <s v="Iphone"/>
    <s v="RIVERO, LUIS MARIANO"/>
    <s v="SALES CENTRAL"/>
    <s v="NO"/>
    <n v="25"/>
  </r>
  <r>
    <x v="0"/>
    <n v="25"/>
    <x v="1"/>
    <s v="629-345-1574"/>
    <s v="IPAD DISTRIBUIDORA ..."/>
    <s v="205"/>
    <s v="$12.00"/>
    <m/>
    <s v="$15.00"/>
    <s v="$12.78"/>
    <s v="$3.75"/>
    <s v="-"/>
    <n v="43.53"/>
    <s v="Ipad"/>
    <s v="RIVERO, LUIS MARIANO"/>
    <s v="SALES CENTRAL"/>
    <s v="NO"/>
    <n v="25"/>
  </r>
  <r>
    <x v="0"/>
    <n v="25"/>
    <x v="1"/>
    <s v="629-345-1642"/>
    <s v="IPHONE 14"/>
    <s v="207"/>
    <s v="-$2.33"/>
    <m/>
    <s v="$35.00"/>
    <s v="$1.82"/>
    <s v="$4.85"/>
    <s v="$2.56"/>
    <n v="41.9"/>
    <s v="Iphone"/>
    <s v="CALDERON, PILAR ESTRADA"/>
    <s v="MERCHANDISER SOUTH"/>
    <s v="NO"/>
    <n v="25"/>
  </r>
  <r>
    <x v="0"/>
    <n v="25"/>
    <x v="1"/>
    <s v="629-345-1645"/>
    <s v="RADDY GARCIA SA"/>
    <s v="209"/>
    <s v="-$2.33"/>
    <m/>
    <s v="$35.00"/>
    <s v="$1.82"/>
    <s v="$4.85"/>
    <s v="$2.56"/>
    <n v="41.9"/>
    <s v="Iphone"/>
    <s v="GARCIA, RADDY"/>
    <s v="SALES NORTH"/>
    <s v="NO"/>
    <n v="25"/>
  </r>
  <r>
    <x v="0"/>
    <n v="25"/>
    <x v="1"/>
    <s v="629-345-1705"/>
    <s v="IPAD DISTRIBUIDORA ..."/>
    <s v="211"/>
    <s v="$12.00"/>
    <m/>
    <s v="$15.00"/>
    <s v="$12.78"/>
    <s v="$3.75"/>
    <s v="-"/>
    <n v="43.53"/>
    <s v="Ipad"/>
    <s v="CALDERON, PILAR ESTRADA"/>
    <s v="MERCHANDISER SOUTH"/>
    <s v="NO"/>
    <n v="25"/>
  </r>
  <r>
    <x v="0"/>
    <n v="25"/>
    <x v="1"/>
    <s v="629-345-1728"/>
    <s v="IPAD DISTRIBUIDORA ..."/>
    <s v="213"/>
    <s v="$12.00"/>
    <m/>
    <s v="$15.00"/>
    <s v="$12.78"/>
    <s v="$3.75"/>
    <s v="-"/>
    <n v="43.53"/>
    <s v="Ipad"/>
    <s v="GARCIA, RADDY"/>
    <s v="SALES NORTH"/>
    <s v="NO"/>
    <n v="25"/>
  </r>
  <r>
    <x v="0"/>
    <n v="25"/>
    <x v="1"/>
    <s v="629-468-1066"/>
    <s v="REPLACEMENT LOST PHONE"/>
    <s v="215"/>
    <s v="-$35.00"/>
    <m/>
    <s v="-"/>
    <s v="$5.99"/>
    <s v="-$0.47"/>
    <s v="-$0.46"/>
    <n v="-29.94"/>
    <s v="Samsung"/>
    <e v="#N/A"/>
    <e v="#N/A"/>
    <s v="NO"/>
    <n v="-29.94"/>
  </r>
  <r>
    <x v="0"/>
    <n v="25"/>
    <x v="1"/>
    <s v="629-468-8256"/>
    <s v="MARANGELIE RIVERA"/>
    <s v="217"/>
    <s v="-$11.33"/>
    <m/>
    <s v="$35.00"/>
    <s v="-"/>
    <s v="$4.51"/>
    <s v="$2.23"/>
    <n v="30.41"/>
    <n v="0"/>
    <s v="VIVAS, REYNA E"/>
    <s v="SALES RITEFILL DSD WEST"/>
    <s v="NO"/>
    <n v="25"/>
  </r>
  <r>
    <x v="0"/>
    <n v="25"/>
    <x v="1"/>
    <s v="629-729-3287"/>
    <s v="IPAD RAFAEL CHANCHA..."/>
    <s v="219"/>
    <s v="$12.00"/>
    <m/>
    <s v="$15.00"/>
    <s v="-"/>
    <s v="$3.75"/>
    <m/>
    <n v="30.75"/>
    <s v="Ipad"/>
    <s v="CHANCHAMIRE, RAFAEL A"/>
    <s v="SALES WEST"/>
    <s v="NO"/>
    <n v="25"/>
  </r>
  <r>
    <x v="0"/>
    <n v="25"/>
    <x v="1"/>
    <s v="629-729-3294"/>
    <s v="IPAD EDILIA SHINE"/>
    <s v="221"/>
    <s v="$12.00"/>
    <m/>
    <s v="$15.00"/>
    <s v="-"/>
    <s v="$3.75"/>
    <m/>
    <n v="30.75"/>
    <s v="Ipad"/>
    <s v="SHINE, EDILIA D"/>
    <s v="SALES NORTH"/>
    <s v="NO"/>
    <n v="25"/>
  </r>
  <r>
    <x v="0"/>
    <n v="25"/>
    <x v="1"/>
    <s v="659-268-2242"/>
    <s v="DSD IPHONE ALABAMA"/>
    <s v="223"/>
    <s v="$10.83"/>
    <m/>
    <s v="$25.00"/>
    <s v="-"/>
    <s v="$4.67"/>
    <s v="$4.66"/>
    <n v="45.16"/>
    <s v="Iphone"/>
    <n v="0"/>
    <s v="SALES RITEFILL DSD SOUTH"/>
    <s v="NO"/>
    <n v="25"/>
  </r>
  <r>
    <x v="0"/>
    <n v="25"/>
    <x v="1"/>
    <s v="678-477-4654"/>
    <s v="IPAD SALES"/>
    <s v="225"/>
    <s v="-$4.50"/>
    <m/>
    <s v="$15.00"/>
    <s v="-"/>
    <s v="$3.75"/>
    <m/>
    <n v="14.25"/>
    <s v="no aplica"/>
    <s v="IPAD SALES"/>
    <s v="ATLANTA"/>
    <s v="NO"/>
    <n v="25"/>
  </r>
  <r>
    <x v="0"/>
    <n v="25"/>
    <x v="1"/>
    <s v="678-579-7572"/>
    <s v="GABRIEL ABOUKHEIR"/>
    <s v="227"/>
    <s v="-$13.00"/>
    <m/>
    <s v="$35.00"/>
    <s v="-"/>
    <s v="$4.49"/>
    <s v="$2.10"/>
    <n v="28.59"/>
    <s v="no aplica"/>
    <s v="GABRIEL ABOUK..."/>
    <s v="ATLANTA"/>
    <s v="NO"/>
    <n v="25"/>
  </r>
  <r>
    <x v="0"/>
    <n v="25"/>
    <x v="1"/>
    <s v="678-748-6121"/>
    <s v="GUSTAVO MORILLO"/>
    <s v="229"/>
    <s v="-$13.00"/>
    <m/>
    <s v="$35.00"/>
    <s v="-"/>
    <s v="$4.49"/>
    <s v="$2.10"/>
    <n v="28.59"/>
    <s v="no aplica"/>
    <s v="GUSTAVO MORILLO"/>
    <s v="ATLANTA"/>
    <s v="NO"/>
    <n v="25"/>
  </r>
  <r>
    <x v="0"/>
    <n v="25"/>
    <x v="1"/>
    <s v="678-906-8991"/>
    <s v="ROSALINA SOCORRO"/>
    <s v="231"/>
    <s v="-$13.00"/>
    <m/>
    <s v="$35.00"/>
    <s v="-"/>
    <s v="$4.49"/>
    <s v="$2.10"/>
    <n v="28.59"/>
    <s v="no aplica"/>
    <s v="ROSALINA SOCORRO"/>
    <s v="ATLANTA"/>
    <s v="NO"/>
    <n v="25"/>
  </r>
  <r>
    <x v="0"/>
    <n v="25"/>
    <x v="1"/>
    <s v="678-925-1523"/>
    <s v="IPAD SALES"/>
    <s v="233"/>
    <s v="-$4.50"/>
    <m/>
    <s v="$15.00"/>
    <s v="-"/>
    <s v="$3.75"/>
    <m/>
    <n v="14.25"/>
    <s v="no aplica"/>
    <s v="IPAD SALES"/>
    <s v="ATLANTA"/>
    <s v="NO"/>
    <n v="25"/>
  </r>
  <r>
    <x v="0"/>
    <n v="25"/>
    <x v="1"/>
    <s v="678-925-4534"/>
    <s v="ABIGAIL QUINTERO"/>
    <s v="235"/>
    <s v="-$13.00"/>
    <m/>
    <s v="$35.00"/>
    <s v="-"/>
    <s v="$4.49"/>
    <s v="$2.10"/>
    <n v="28.59"/>
    <s v="no aplica"/>
    <s v="ABIGAIL QUINTERO"/>
    <s v="ATLANTA"/>
    <s v="NO"/>
    <n v="25"/>
  </r>
  <r>
    <x v="0"/>
    <n v="25"/>
    <x v="1"/>
    <s v="678-925-6858"/>
    <s v="IPAD SALES"/>
    <s v="237"/>
    <s v="-$4.50"/>
    <m/>
    <s v="$15.00"/>
    <s v="-"/>
    <s v="$3.75"/>
    <m/>
    <n v="14.25"/>
    <s v="no aplica"/>
    <s v="IPAD SALES"/>
    <s v="ATLANTA"/>
    <s v="NO"/>
    <n v="25"/>
  </r>
  <r>
    <x v="0"/>
    <n v="25"/>
    <x v="1"/>
    <s v="859-321-3539"/>
    <s v="ESMERALDA WILSON"/>
    <s v="239"/>
    <s v="-$11.33"/>
    <m/>
    <s v="$35.00"/>
    <s v="-"/>
    <s v="$5.15"/>
    <s v="$2.88"/>
    <n v="31.7"/>
    <s v="Iphone"/>
    <s v="ESMERALDA WILSON"/>
    <s v="SALES CENTRAL"/>
    <s v="859-321-3539"/>
    <n v="15"/>
  </r>
  <r>
    <x v="0"/>
    <n v="25"/>
    <x v="1"/>
    <s v="865-334-0516"/>
    <s v="FABIOLA ROJAS MER"/>
    <s v="241"/>
    <s v="-$11.33"/>
    <m/>
    <s v="$35.00"/>
    <s v="$5.00"/>
    <s v="$4.51"/>
    <s v="$2.23"/>
    <n v="35.409999999999997"/>
    <s v="Iphone"/>
    <s v="ROJAS, FABIOLA V"/>
    <s v="MERCHANDISER CENTRAL"/>
    <s v="NO"/>
    <n v="25"/>
  </r>
  <r>
    <x v="0"/>
    <n v="25"/>
    <x v="1"/>
    <s v="865-396-3526"/>
    <s v="CARLOS VELIZ"/>
    <s v="243"/>
    <s v="-$11.33"/>
    <m/>
    <s v="$35.00"/>
    <s v="-"/>
    <s v="$5.15"/>
    <s v="$2.88"/>
    <n v="31.7"/>
    <s v="Iphone"/>
    <s v="VELIZ, CARLOS A"/>
    <s v="SALES CENTRAL"/>
    <s v="865-396-3526"/>
    <n v="15"/>
  </r>
  <r>
    <x v="0"/>
    <n v="25"/>
    <x v="1"/>
    <s v="865-396-3528"/>
    <s v="CARLOS VELIZ SA"/>
    <s v="245"/>
    <s v="-$15.00"/>
    <m/>
    <s v="$15.00"/>
    <s v="-"/>
    <s v="$3.75"/>
    <m/>
    <n v="3.75"/>
    <s v="Ipad"/>
    <s v="VELIZ, CARLOS A"/>
    <s v="SALES CENTRAL"/>
    <s v="NO"/>
    <n v="25"/>
  </r>
  <r>
    <x v="0"/>
    <n v="25"/>
    <x v="1"/>
    <s v="901-275-5428"/>
    <s v="VERUUZKO RODRIGUEZ"/>
    <s v="247"/>
    <s v="-$11.33"/>
    <m/>
    <s v="$35.00"/>
    <s v="-"/>
    <s v="$5.15"/>
    <s v="$2.88"/>
    <n v="31.7"/>
    <s v="Iphone"/>
    <s v="RODRIGUEZ, VERUUZKO"/>
    <s v="SALES CENTRAL"/>
    <s v="901-275-5428"/>
    <n v="15"/>
  </r>
  <r>
    <x v="0"/>
    <n v="25"/>
    <x v="1"/>
    <s v="901-410-6734"/>
    <s v="SANTIAGO MEMPHIS"/>
    <s v="249"/>
    <s v="-$11.33"/>
    <m/>
    <s v="$35.00"/>
    <s v="-"/>
    <s v="$4.51"/>
    <s v="$2.23"/>
    <n v="30.41"/>
    <s v="Galaxy"/>
    <s v="RODRIGUEZ SR, CHRISTIAN MICHEAL"/>
    <s v="LOGISTIC SOUTH"/>
    <s v="NO"/>
    <n v="25"/>
  </r>
  <r>
    <x v="0"/>
    <n v="25"/>
    <x v="1"/>
    <s v="901-427-2093"/>
    <s v="ANDRES SUAREZ"/>
    <s v="251"/>
    <s v="-$29.66"/>
    <m/>
    <s v="$35.00"/>
    <s v="-"/>
    <s v="$5.15"/>
    <s v="$2.88"/>
    <n v="13.37"/>
    <s v="Galaxy "/>
    <s v="SUAREZ, ANDRES E"/>
    <s v="LOGISTICS CENTRAL"/>
    <s v="901-427-2093"/>
    <n v="15"/>
  </r>
  <r>
    <x v="0"/>
    <n v="25"/>
    <x v="1"/>
    <s v="901-456-2279"/>
    <s v="CARLOS PEREZ"/>
    <s v="253"/>
    <s v="-$35.00"/>
    <m/>
    <s v="-"/>
    <s v="$5.00"/>
    <s v="-$0.47"/>
    <s v="-$0.46"/>
    <n v="-30.93"/>
    <s v="Iphone"/>
    <e v="#N/A"/>
    <e v="#N/A"/>
    <s v="NO"/>
    <n v="-30.93"/>
  </r>
  <r>
    <x v="0"/>
    <n v="25"/>
    <x v="1"/>
    <s v="901-464-6471"/>
    <s v="HELEN MADRIGAL"/>
    <s v="255"/>
    <s v="-$7.83"/>
    <m/>
    <s v="$35.00"/>
    <s v="-$0.79"/>
    <s v="$4.83"/>
    <s v="$2.54"/>
    <n v="33.75"/>
    <s v="Iphone"/>
    <s v="MADRIGAL GARCIA, HELEN C"/>
    <s v="SALES NORTH"/>
    <s v="NO"/>
    <n v="25"/>
  </r>
  <r>
    <x v="0"/>
    <n v="25"/>
    <x v="1"/>
    <s v="901-467-5902"/>
    <s v="HELEN MADRIGAL IPAD SA"/>
    <s v="257"/>
    <s v="$12.00"/>
    <m/>
    <s v="$15.00"/>
    <s v="-"/>
    <s v="$3.75"/>
    <m/>
    <n v="30.75"/>
    <s v="Ipad"/>
    <s v="MADRIGAL GARCIA, HELEN C"/>
    <s v="SALES NORTH"/>
    <s v="NO"/>
    <n v="25"/>
  </r>
  <r>
    <x v="0"/>
    <n v="25"/>
    <x v="1"/>
    <s v="901-500-6953"/>
    <s v="CESAR RODRIGUEZ KY"/>
    <s v="259"/>
    <s v="-$29.66"/>
    <m/>
    <s v="$35.00"/>
    <s v="-"/>
    <s v="$5.15"/>
    <s v="$2.88"/>
    <n v="13.37"/>
    <s v="Galaxy "/>
    <s v="RODRIGUEZ MELENDEZ, CESAR ANIBAL"/>
    <s v="LOGISTICS NORTH"/>
    <s v="901-500-6953"/>
    <n v="15"/>
  </r>
  <r>
    <x v="0"/>
    <n v="25"/>
    <x v="1"/>
    <s v="901-581-6397"/>
    <s v="JOSEFINA AVALOS SA"/>
    <s v="261"/>
    <s v="-$11.33"/>
    <m/>
    <s v="$35.00"/>
    <s v="-"/>
    <s v="$4.51"/>
    <s v="$2.23"/>
    <n v="30.41"/>
    <s v="Iphone"/>
    <s v="AVALOS, JOSEFINA"/>
    <s v="SALES WEST"/>
    <s v="NO"/>
    <n v="25"/>
  </r>
  <r>
    <x v="0"/>
    <n v="25"/>
    <x v="1"/>
    <s v="901-585-9984"/>
    <s v="LUIS DE LA TORRE"/>
    <s v="263"/>
    <s v="-$29.66"/>
    <m/>
    <s v="$35.00"/>
    <s v="-"/>
    <s v="$5.15"/>
    <s v="$2.88"/>
    <n v="13.37"/>
    <s v="Galaxy "/>
    <s v="DE LA TORRE, LUIS G"/>
    <s v="LOGISTICS WEST"/>
    <s v="901-585-9984"/>
    <n v="15"/>
  </r>
  <r>
    <x v="0"/>
    <n v="25"/>
    <x v="1"/>
    <s v="901-607-5291"/>
    <s v="BENY CORPUS"/>
    <s v="265"/>
    <m/>
    <n v="6.34"/>
    <s v="$35.00"/>
    <s v="-"/>
    <s v="$18.33"/>
    <s v="$5.58"/>
    <n v="65.25"/>
    <s v="Galaxy "/>
    <s v="CORPUS, BENY A"/>
    <s v="LOGISTICS CENTRAL"/>
    <s v="901-607-5291"/>
    <n v="15"/>
  </r>
  <r>
    <x v="0"/>
    <n v="25"/>
    <x v="1"/>
    <s v="901-649-5850"/>
    <s v="RAFAEL CHANCHAMIRE SA"/>
    <s v="267"/>
    <s v="-$11.33"/>
    <m/>
    <s v="$35.00"/>
    <s v="$5.99"/>
    <s v="$4.51"/>
    <s v="$2.23"/>
    <n v="36.4"/>
    <s v="Iphone"/>
    <s v="CHANCHAMIRE, RAFAEL A"/>
    <s v="SALES WEST"/>
    <s v="NO"/>
    <n v="25"/>
  </r>
  <r>
    <x v="0"/>
    <n v="25"/>
    <x v="1"/>
    <s v="901-713-7796"/>
    <s v="ANA CAROLINA FERRERIA"/>
    <s v="269"/>
    <s v="-$18.67"/>
    <m/>
    <s v="$50.00"/>
    <s v="-"/>
    <s v="$4.22"/>
    <s v="$1.92"/>
    <n v="37.47"/>
    <s v="Iphone"/>
    <s v="FERREIRA, ANA CAROLINA"/>
    <s v="MERCHANDISER WEST"/>
    <s v="901-713-7796"/>
    <n v="15"/>
  </r>
  <r>
    <x v="0"/>
    <n v="25"/>
    <x v="2"/>
    <s v="629-257-4960"/>
    <s v="Backup Internet"/>
    <n v="5"/>
    <s v="-"/>
    <n v="40"/>
    <s v="-"/>
    <s v="-"/>
    <s v="-"/>
    <m/>
    <n v="40"/>
    <s v="no aplica"/>
    <s v="Backup Internet"/>
    <s v="SALES CENTRAL"/>
    <s v="NO"/>
    <n v="25"/>
  </r>
  <r>
    <x v="0"/>
    <n v="25"/>
    <x v="2"/>
    <s v="629-257-4960"/>
    <s v="Backup Internet"/>
    <n v="7"/>
    <n v="-4.5"/>
    <n v="15"/>
    <s v="-"/>
    <n v="3.75"/>
    <s v="-"/>
    <m/>
    <n v="14.25"/>
    <s v="no aplica"/>
    <s v="Backup Internet"/>
    <s v="SALES CENTRAL"/>
    <s v="NO"/>
    <n v="25"/>
  </r>
  <r>
    <x v="0"/>
    <n v="25"/>
    <x v="2"/>
    <s v="629-258-0227"/>
    <s v="Backup Internet"/>
    <n v="5"/>
    <s v="-"/>
    <n v="40"/>
    <s v="-"/>
    <s v="-"/>
    <s v="-"/>
    <m/>
    <n v="40"/>
    <s v="no aplica"/>
    <s v="Backup Internet"/>
    <s v="SALES CENTRAL"/>
    <s v="NO"/>
    <n v="25"/>
  </r>
  <r>
    <x v="0"/>
    <n v="25"/>
    <x v="2"/>
    <s v="629-258-0227"/>
    <s v="Backup Internet"/>
    <n v="9"/>
    <n v="-4.5"/>
    <n v="15"/>
    <s v="-"/>
    <n v="3.75"/>
    <s v="-"/>
    <m/>
    <n v="14.25"/>
    <s v="no aplica"/>
    <s v="Backup Internet"/>
    <s v="SALES CENTRAL"/>
    <s v="NO"/>
    <n v="25"/>
  </r>
  <r>
    <x v="0"/>
    <n v="25"/>
    <x v="2"/>
    <s v="205-527-8021"/>
    <s v="MAITA, JOSE"/>
    <n v="11"/>
    <s v="-"/>
    <n v="35"/>
    <n v="5"/>
    <n v="4.66"/>
    <n v="2.78"/>
    <m/>
    <n v="47.44"/>
    <s v="Iphone"/>
    <s v="MAITA, JOSE"/>
    <s v="SALES SOUTH"/>
    <s v="NO"/>
    <n v="25"/>
  </r>
  <r>
    <x v="0"/>
    <n v="25"/>
    <x v="2"/>
    <s v="205-529-6296"/>
    <s v="SILVA R, ROSMARY JOSE"/>
    <n v="13"/>
    <s v="-"/>
    <n v="35"/>
    <s v="-"/>
    <n v="4.66"/>
    <n v="2.38"/>
    <m/>
    <n v="42.04"/>
    <s v="Iphone"/>
    <s v="SILVA R, ROSMARY JOSE"/>
    <s v="SALES SOUTH"/>
    <s v="205-529-6296"/>
    <n v="15"/>
  </r>
  <r>
    <x v="0"/>
    <n v="25"/>
    <x v="2"/>
    <s v="205-767-8090"/>
    <s v="GUERRERO, JESUS"/>
    <n v="15"/>
    <s v="-"/>
    <n v="35"/>
    <s v="-"/>
    <n v="4.66"/>
    <n v="2.38"/>
    <m/>
    <n v="42.04"/>
    <s v="Iphone"/>
    <s v="GUERRERO, JESUS"/>
    <s v="SALES SOUTH"/>
    <s v="205-767-8090"/>
    <n v="15"/>
  </r>
  <r>
    <x v="0"/>
    <n v="25"/>
    <x v="2"/>
    <s v="256-631-4188"/>
    <s v="FLORES, JOSE DANIEL"/>
    <n v="17"/>
    <s v="-"/>
    <n v="15"/>
    <s v="-"/>
    <n v="3.75"/>
    <s v="-"/>
    <m/>
    <n v="18.75"/>
    <s v="Ipad"/>
    <s v="FLORES, JOSE DANIEL"/>
    <s v="SALES SOUTH"/>
    <s v="NO"/>
    <n v="25"/>
  </r>
  <r>
    <x v="0"/>
    <n v="25"/>
    <x v="2"/>
    <s v="256-724-1530"/>
    <s v="FLORES, JOSE DANIEL"/>
    <n v="19"/>
    <s v="-"/>
    <n v="35"/>
    <n v="10.99"/>
    <n v="4.66"/>
    <n v="2.78"/>
    <m/>
    <n v="53.43"/>
    <s v="Iphone"/>
    <s v="FLORES, JOSE DANIEL"/>
    <s v="SALES SOUTH"/>
    <s v="NO"/>
    <n v="25"/>
  </r>
  <r>
    <x v="0"/>
    <n v="25"/>
    <x v="2"/>
    <s v="270-779-9642"/>
    <s v="backup"/>
    <n v="21"/>
    <s v="-"/>
    <n v="25"/>
    <s v="-"/>
    <n v="6.08"/>
    <n v="2.54"/>
    <m/>
    <n v="33.619999999999997"/>
    <n v="0"/>
    <s v="backup"/>
    <s v="SALES CENTRAL"/>
    <s v="NO"/>
    <n v="25"/>
  </r>
  <r>
    <x v="0"/>
    <n v="25"/>
    <x v="2"/>
    <s v="314-309-4058"/>
    <s v="LOPEZ, YESENIA"/>
    <n v="23"/>
    <s v="-"/>
    <n v="35"/>
    <n v="5"/>
    <n v="4.66"/>
    <n v="2.38"/>
    <m/>
    <n v="47.04"/>
    <s v="Iphone"/>
    <s v="LOPEZ, YESENIA"/>
    <s v="SALES WEST"/>
    <s v="NO"/>
    <n v="25"/>
  </r>
  <r>
    <x v="0"/>
    <n v="25"/>
    <x v="2"/>
    <s v="314-580-3315"/>
    <s v="CAICEDO, VICTOR M"/>
    <n v="25"/>
    <s v="-"/>
    <n v="35"/>
    <s v="-"/>
    <n v="4.66"/>
    <n v="2.38"/>
    <m/>
    <n v="42.04"/>
    <s v="Iphone"/>
    <s v="CAICEDO, VICTOR M"/>
    <s v="SALES WEST"/>
    <s v="314-580-3315"/>
    <n v="15"/>
  </r>
  <r>
    <x v="0"/>
    <n v="25"/>
    <x v="2"/>
    <s v="317-500-7156"/>
    <s v="SORIANO, NAYELY"/>
    <n v="27"/>
    <s v="-"/>
    <n v="35"/>
    <s v="-"/>
    <n v="4.66"/>
    <n v="2.38"/>
    <m/>
    <n v="42.04"/>
    <s v="Iphone"/>
    <s v="SORIANO, NAYELY"/>
    <s v="SALES NORTH"/>
    <s v="317-500-7156"/>
    <n v="15"/>
  </r>
  <r>
    <x v="0"/>
    <n v="25"/>
    <x v="2"/>
    <s v="423-321-4014"/>
    <s v="CORADO, JUAN CARLOS"/>
    <n v="29"/>
    <s v="-"/>
    <n v="35"/>
    <s v="-"/>
    <n v="4.66"/>
    <n v="2.38"/>
    <m/>
    <n v="42.04"/>
    <s v="Iphone"/>
    <s v="CORADO, JUAN CARLOS"/>
    <s v="SALES SOUTH"/>
    <s v="423-321-4014"/>
    <n v="15"/>
  </r>
  <r>
    <x v="0"/>
    <n v="25"/>
    <x v="2"/>
    <s v="463-209-9259"/>
    <s v="SHINE, EDILIA D"/>
    <n v="31"/>
    <s v="-"/>
    <n v="35"/>
    <s v="-"/>
    <n v="4.66"/>
    <n v="2.38"/>
    <m/>
    <n v="42.04"/>
    <s v="Iphone"/>
    <s v="SHINE, EDILIA D"/>
    <s v="SALES NORTH"/>
    <s v="NO"/>
    <n v="25"/>
  </r>
  <r>
    <x v="0"/>
    <n v="25"/>
    <x v="2"/>
    <s v="463-867-7910"/>
    <e v="#N/A"/>
    <n v="33"/>
    <s v="-"/>
    <s v="-"/>
    <n v="5.99"/>
    <s v="-"/>
    <s v="-"/>
    <m/>
    <n v="5.99"/>
    <e v="#N/A"/>
    <e v="#N/A"/>
    <e v="#N/A"/>
    <s v="NO"/>
    <n v="25"/>
  </r>
  <r>
    <x v="0"/>
    <n v="25"/>
    <x v="2"/>
    <s v="470-330-9757"/>
    <e v="#N/A"/>
    <n v="35"/>
    <s v="-"/>
    <s v="-"/>
    <s v="-"/>
    <s v="-"/>
    <s v="-"/>
    <m/>
    <n v="0"/>
    <e v="#N/A"/>
    <e v="#N/A"/>
    <e v="#N/A"/>
    <s v="NO"/>
    <n v="25"/>
  </r>
  <r>
    <x v="0"/>
    <n v="25"/>
    <x v="2"/>
    <s v="470-609-0538"/>
    <s v="DANIEL GARCIA"/>
    <n v="37"/>
    <s v="-"/>
    <n v="35"/>
    <s v="-"/>
    <n v="4.66"/>
    <n v="2.2400000000000002"/>
    <m/>
    <n v="41.9"/>
    <s v="no aplica"/>
    <s v="DANIEL GARCIA"/>
    <s v="ATLANTA"/>
    <s v="NO"/>
    <n v="25"/>
  </r>
  <r>
    <x v="0"/>
    <n v="25"/>
    <x v="2"/>
    <s v="470-609-0570"/>
    <s v="OSCAR BARRAGAN"/>
    <n v="39"/>
    <s v="-"/>
    <n v="35"/>
    <s v="-"/>
    <n v="4.66"/>
    <n v="2.2400000000000002"/>
    <m/>
    <n v="41.9"/>
    <s v="no aplica"/>
    <s v="OSCAR BARRAGAN"/>
    <s v="ATLANTA"/>
    <s v="NO"/>
    <n v="25"/>
  </r>
  <r>
    <x v="0"/>
    <n v="25"/>
    <x v="2"/>
    <s v="470-737-8596"/>
    <e v="#N/A"/>
    <n v="41"/>
    <s v="-"/>
    <s v="-"/>
    <s v="-"/>
    <s v="-"/>
    <s v="-"/>
    <m/>
    <n v="0"/>
    <e v="#N/A"/>
    <e v="#N/A"/>
    <e v="#N/A"/>
    <s v="NO"/>
    <n v="25"/>
  </r>
  <r>
    <x v="0"/>
    <n v="25"/>
    <x v="2"/>
    <s v="501-773-3738"/>
    <s v="VILLAVICENCIO, ARTURO J"/>
    <n v="43"/>
    <s v="-"/>
    <n v="15"/>
    <s v="-"/>
    <n v="3.75"/>
    <s v="-"/>
    <m/>
    <n v="18.75"/>
    <s v="Ipad"/>
    <s v="VILLAVICENCIO, ARTURO J"/>
    <s v="SALES WEST"/>
    <s v="NO"/>
    <n v="25"/>
  </r>
  <r>
    <x v="0"/>
    <n v="25"/>
    <x v="2"/>
    <s v="501-773-3763"/>
    <s v="VILLAVICENCIO, ARTURO J"/>
    <n v="45"/>
    <s v="-"/>
    <n v="35"/>
    <s v="-"/>
    <n v="4.66"/>
    <n v="2.38"/>
    <m/>
    <n v="42.04"/>
    <s v="Iphone"/>
    <s v="VILLAVICENCIO, ARTURO J"/>
    <s v="SALES WEST"/>
    <s v="501-773-3763"/>
    <n v="15"/>
  </r>
  <r>
    <x v="0"/>
    <n v="25"/>
    <x v="2"/>
    <s v="502-341-1558"/>
    <s v="Backup  "/>
    <n v="47"/>
    <s v="-"/>
    <n v="35"/>
    <s v="-"/>
    <n v="4.66"/>
    <n v="2.38"/>
    <m/>
    <n v="42.04"/>
    <n v="0"/>
    <s v="Backup  "/>
    <s v="SALES CENTRAL"/>
    <s v="502-341-1558"/>
    <n v="15"/>
  </r>
  <r>
    <x v="0"/>
    <n v="25"/>
    <x v="2"/>
    <s v="502-558-5770"/>
    <s v="MOJICA, FRANCISCO JAVIER"/>
    <n v="49"/>
    <s v="-"/>
    <n v="25"/>
    <s v="-"/>
    <n v="4.53"/>
    <n v="4.2699999999999996"/>
    <m/>
    <n v="33.799999999999997"/>
    <s v="Galaxy "/>
    <s v="MOJICA, FRANCISCO JAVIER"/>
    <s v="LOGISTICS CENTRAL"/>
    <s v="502-558-5770"/>
    <n v="15"/>
  </r>
  <r>
    <x v="0"/>
    <n v="25"/>
    <x v="2"/>
    <s v="502-974-3915"/>
    <s v="ARMES, CLAUDIA"/>
    <n v="51"/>
    <s v="-"/>
    <n v="35"/>
    <s v="-"/>
    <n v="4.66"/>
    <n v="2.38"/>
    <m/>
    <n v="42.04"/>
    <s v="Iphone"/>
    <s v="ARMES, CLAUDIA"/>
    <s v="SALES NORTH"/>
    <s v="502-974-3915"/>
    <n v="15"/>
  </r>
  <r>
    <x v="0"/>
    <n v="25"/>
    <x v="2"/>
    <s v="513-675-0865"/>
    <s v="CORDERO, IRIS"/>
    <n v="53"/>
    <s v="-"/>
    <n v="35"/>
    <s v="-"/>
    <n v="4.66"/>
    <n v="2.38"/>
    <m/>
    <n v="42.04"/>
    <s v="Iphone"/>
    <s v="CORDERO, IRIS"/>
    <s v="SALES NORTH"/>
    <s v="513-675-0865"/>
    <n v="15"/>
  </r>
  <r>
    <x v="0"/>
    <n v="25"/>
    <x v="2"/>
    <s v="513-720-1147"/>
    <s v="ALVAREZ PALOMARES M, PAULA MAYREN"/>
    <n v="55"/>
    <s v="-"/>
    <n v="35"/>
    <n v="5"/>
    <n v="4.75"/>
    <n v="1.1100000000000001"/>
    <m/>
    <n v="45.86"/>
    <s v="Iphone"/>
    <s v="ALVAREZ PALOMARES M, PAULA MAYREN"/>
    <s v="MERCHANDISER NORTH"/>
    <s v="NO"/>
    <n v="25"/>
  </r>
  <r>
    <x v="0"/>
    <n v="25"/>
    <x v="2"/>
    <s v="601-910-8492"/>
    <s v="LACRUZ, ROSMARY"/>
    <n v="57"/>
    <s v="-"/>
    <n v="35"/>
    <s v="-"/>
    <n v="4.66"/>
    <n v="2.38"/>
    <m/>
    <n v="42.04"/>
    <s v="Iphone"/>
    <s v="LACRUZ, ROSMARY"/>
    <s v="SALES WEST"/>
    <s v="601-910-8492"/>
    <n v="15"/>
  </r>
  <r>
    <x v="0"/>
    <n v="25"/>
    <x v="2"/>
    <s v="615-207-2464"/>
    <s v="CABRERA, OSMAN A"/>
    <n v="59"/>
    <s v="-"/>
    <n v="35"/>
    <s v="-"/>
    <n v="4.66"/>
    <n v="2.38"/>
    <m/>
    <n v="42.04"/>
    <s v="Iphone"/>
    <s v="CABRERA, OSMAN A"/>
    <s v="SALES CENTRAL"/>
    <s v="615-207-2464"/>
    <n v="15"/>
  </r>
  <r>
    <x v="0"/>
    <n v="25"/>
    <x v="2"/>
    <s v="615-299-3640"/>
    <s v="DE LOS SANTOS, LUIS"/>
    <n v="61"/>
    <s v="-"/>
    <n v="25"/>
    <s v="-"/>
    <n v="4.53"/>
    <n v="4.2699999999999996"/>
    <m/>
    <n v="33.799999999999997"/>
    <s v="Galaxy"/>
    <s v="DE LOS SANTOS, LUIS"/>
    <s v="LOGISTIC SOUTH"/>
    <s v="615-299-3640"/>
    <n v="15"/>
  </r>
  <r>
    <x v="0"/>
    <n v="25"/>
    <x v="2"/>
    <s v="615-299-3641"/>
    <s v="FERNANDEZ, EDGAR"/>
    <n v="63"/>
    <s v="-"/>
    <n v="35"/>
    <s v="-"/>
    <n v="4.66"/>
    <n v="2.38"/>
    <m/>
    <n v="42.04"/>
    <s v="Motorola"/>
    <s v="FERNANDEZ, EDGAR"/>
    <s v="LOGISTICS CENTRAL"/>
    <s v="NO"/>
    <n v="25"/>
  </r>
  <r>
    <x v="0"/>
    <n v="25"/>
    <x v="2"/>
    <s v="615-305-1999"/>
    <e v="#N/A"/>
    <n v="65"/>
    <s v="-"/>
    <n v="10"/>
    <s v="-"/>
    <s v="-"/>
    <s v="-"/>
    <m/>
    <n v="10"/>
    <e v="#N/A"/>
    <e v="#N/A"/>
    <e v="#N/A"/>
    <s v="NO"/>
    <n v="25"/>
  </r>
  <r>
    <x v="0"/>
    <n v="25"/>
    <x v="2"/>
    <s v="615-310-9970"/>
    <s v="CARDOZO, ALBERT YVAN"/>
    <n v="67"/>
    <s v="-"/>
    <n v="15"/>
    <s v="-"/>
    <n v="3.75"/>
    <s v="-"/>
    <m/>
    <n v="18.75"/>
    <s v="Ipad"/>
    <s v="CARDOZO, ALBERT YVAN"/>
    <s v="SALES RITEFILL DSD CENTRAL"/>
    <s v="615-310-9970"/>
    <n v="15"/>
  </r>
  <r>
    <x v="0"/>
    <n v="25"/>
    <x v="2"/>
    <s v="615-316-8577"/>
    <s v="DUQUE IYENGAR, DANIELA"/>
    <n v="69"/>
    <s v="-"/>
    <n v="35"/>
    <n v="25"/>
    <n v="4.66"/>
    <n v="2.38"/>
    <m/>
    <n v="67.040000000000006"/>
    <s v="Iphone"/>
    <s v="DUQUE IYENGAR, DANIELA"/>
    <s v="HR"/>
    <s v="NO"/>
    <n v="25"/>
  </r>
  <r>
    <x v="0"/>
    <n v="25"/>
    <x v="2"/>
    <s v="615-337-4949"/>
    <s v="CONDE TORRES, DAVID A"/>
    <n v="71"/>
    <s v="-"/>
    <n v="35"/>
    <s v="-"/>
    <n v="4.66"/>
    <n v="2.38"/>
    <m/>
    <n v="42.04"/>
    <s v="Galaxy"/>
    <s v="CONDE TORRES, DAVID A"/>
    <s v="WAREHOUSE CENTRAL"/>
    <s v="NO"/>
    <n v="25"/>
  </r>
  <r>
    <x v="0"/>
    <n v="25"/>
    <x v="2"/>
    <s v="615-390-4624"/>
    <s v="ESQUIVEL, HENRY"/>
    <n v="73"/>
    <s v="-"/>
    <n v="35"/>
    <s v="-"/>
    <n v="4.66"/>
    <n v="2.38"/>
    <m/>
    <n v="42.04"/>
    <s v="Iphone"/>
    <s v="ESQUIVEL, HENRY"/>
    <s v="WAREHOUSE CENTRAL"/>
    <s v="615-390-4624"/>
    <n v="15"/>
  </r>
  <r>
    <x v="0"/>
    <n v="25"/>
    <x v="2"/>
    <s v="615-403-8760"/>
    <s v="VILLATORO, MERARI"/>
    <n v="75"/>
    <n v="317.2"/>
    <n v="35"/>
    <n v="38.89"/>
    <n v="114.6"/>
    <n v="25.42"/>
    <m/>
    <n v="531.11"/>
    <s v="Iphone"/>
    <s v="VILLATORO, MERARI"/>
    <s v="VP"/>
    <s v="NO"/>
    <n v="25"/>
  </r>
  <r>
    <x v="0"/>
    <n v="25"/>
    <x v="2"/>
    <s v="615-417-0015"/>
    <s v="BARAJAS, JESSICA"/>
    <n v="77"/>
    <s v="-"/>
    <n v="35"/>
    <s v="-"/>
    <n v="4.66"/>
    <n v="2.38"/>
    <m/>
    <n v="42.04"/>
    <s v="Iphone"/>
    <s v="BARAJAS, JESSICA"/>
    <s v="SALES NORTH"/>
    <s v="NO"/>
    <n v="25"/>
  </r>
  <r>
    <x v="0"/>
    <n v="25"/>
    <x v="2"/>
    <s v="615-417-9594"/>
    <s v="QUIJANO, NICOLAS"/>
    <n v="79"/>
    <s v="-"/>
    <n v="35"/>
    <s v="-"/>
    <n v="4.66"/>
    <n v="2.38"/>
    <m/>
    <n v="42.04"/>
    <s v="Iphone"/>
    <s v="QUIJANO, NICOLAS"/>
    <s v="CFO"/>
    <s v="NO"/>
    <n v="25"/>
  </r>
  <r>
    <x v="0"/>
    <n v="25"/>
    <x v="2"/>
    <s v="615-426-4622"/>
    <s v="PATINO, ZEDERICK"/>
    <n v="81"/>
    <s v="-"/>
    <n v="35"/>
    <s v="-"/>
    <n v="4.66"/>
    <n v="2.38"/>
    <m/>
    <n v="42.04"/>
    <s v="Iphone"/>
    <s v="PATINO, ZEDERICK"/>
    <s v="MERCHANDISER CENTRAL"/>
    <s v="NO"/>
    <n v="25"/>
  </r>
  <r>
    <x v="0"/>
    <n v="25"/>
    <x v="2"/>
    <s v="615-456-2536"/>
    <s v="CABANZO, DANNY"/>
    <n v="83"/>
    <s v="-"/>
    <n v="35"/>
    <s v="-"/>
    <n v="4.66"/>
    <n v="2.38"/>
    <m/>
    <n v="42.04"/>
    <s v="Iphone"/>
    <s v="CABANZO, DANNY"/>
    <s v="SALES CENTRAL"/>
    <s v="615-456-2536"/>
    <n v="15"/>
  </r>
  <r>
    <x v="0"/>
    <n v="25"/>
    <x v="2"/>
    <s v="615-476-5992"/>
    <e v="#N/A"/>
    <n v="85"/>
    <s v="-"/>
    <s v="-"/>
    <s v="-"/>
    <s v="-"/>
    <s v="-"/>
    <m/>
    <n v="0"/>
    <e v="#N/A"/>
    <e v="#N/A"/>
    <e v="#N/A"/>
    <s v="NO"/>
    <n v="25"/>
  </r>
  <r>
    <x v="0"/>
    <n v="25"/>
    <x v="2"/>
    <s v="615-477-6490"/>
    <s v="VILLATORO, MERARI"/>
    <n v="87"/>
    <s v="-"/>
    <n v="35"/>
    <n v="30.56"/>
    <n v="4.66"/>
    <n v="2.38"/>
    <m/>
    <n v="72.599999999999994"/>
    <s v="Iphone"/>
    <s v="VILLATORO, MERARI"/>
    <s v="VP"/>
    <s v="NO"/>
    <n v="25"/>
  </r>
  <r>
    <x v="0"/>
    <n v="25"/>
    <x v="2"/>
    <s v="615-496-8278"/>
    <s v="MADRIZ, JOHAN"/>
    <n v="89"/>
    <n v="51"/>
    <n v="35"/>
    <n v="38.89"/>
    <n v="7"/>
    <n v="3.37"/>
    <m/>
    <n v="135.26"/>
    <s v="Iphone"/>
    <s v="MADRIZ, JOHAN"/>
    <s v="President"/>
    <s v="NO"/>
    <n v="25"/>
  </r>
  <r>
    <x v="0"/>
    <n v="25"/>
    <x v="2"/>
    <s v="615-585-1725"/>
    <e v="#N/A"/>
    <n v="91"/>
    <s v="-"/>
    <n v="10"/>
    <s v="-"/>
    <s v="-"/>
    <s v="-"/>
    <m/>
    <n v="10"/>
    <e v="#N/A"/>
    <e v="#N/A"/>
    <e v="#N/A"/>
    <s v="NO"/>
    <n v="25"/>
  </r>
  <r>
    <x v="0"/>
    <n v="25"/>
    <x v="2"/>
    <s v="615-586-0725"/>
    <s v="LOPEZ, YESENIA"/>
    <n v="93"/>
    <s v="-"/>
    <n v="15"/>
    <s v="-"/>
    <n v="3.75"/>
    <s v="-"/>
    <m/>
    <n v="18.75"/>
    <s v="Ipad"/>
    <s v="LOPEZ, YESENIA"/>
    <s v="SALES WEST"/>
    <s v="NO"/>
    <n v="25"/>
  </r>
  <r>
    <x v="0"/>
    <n v="25"/>
    <x v="2"/>
    <s v="615-586-4787"/>
    <s v="MAITA, JOSE"/>
    <n v="95"/>
    <s v="-"/>
    <n v="15"/>
    <s v="-"/>
    <n v="3.75"/>
    <s v="-"/>
    <m/>
    <n v="18.75"/>
    <s v="Ipad"/>
    <s v="MAITA, JOSE"/>
    <s v="SALES SOUTH"/>
    <s v="NO"/>
    <n v="25"/>
  </r>
  <r>
    <x v="0"/>
    <n v="25"/>
    <x v="2"/>
    <s v="615-589-2741"/>
    <s v="SILVA R, ROSMARY JOSE"/>
    <n v="97"/>
    <s v="-"/>
    <n v="15"/>
    <s v="-"/>
    <n v="3.75"/>
    <s v="-"/>
    <m/>
    <n v="18.75"/>
    <s v="Ipad"/>
    <s v="SILVA R, ROSMARY JOSE"/>
    <s v="SALES SOUTH"/>
    <s v="NO"/>
    <n v="25"/>
  </r>
  <r>
    <x v="0"/>
    <n v="25"/>
    <x v="2"/>
    <s v="615-589-4199"/>
    <s v="PELAEZ, ELIZABETH"/>
    <n v="99"/>
    <s v="-"/>
    <n v="35"/>
    <n v="10.99"/>
    <n v="4.66"/>
    <n v="2.38"/>
    <m/>
    <n v="53.03"/>
    <s v="Iphone"/>
    <s v="PELAEZ, ELIZABETH"/>
    <s v="SALES CENTRAL"/>
    <s v="NO"/>
    <n v="25"/>
  </r>
  <r>
    <x v="0"/>
    <n v="25"/>
    <x v="2"/>
    <s v="615-626-2116"/>
    <s v="SUAREZ LEZCANO, FERNANDO M"/>
    <n v="101"/>
    <s v="-"/>
    <n v="35"/>
    <s v="-"/>
    <n v="4.66"/>
    <n v="2.38"/>
    <m/>
    <n v="42.04"/>
    <s v="Iphone"/>
    <s v="SUAREZ LEZCANO, FERNANDO M"/>
    <s v="SALES RITEFILL DSD CENTRAL"/>
    <s v="615-626-2116"/>
    <n v="15"/>
  </r>
  <r>
    <x v="0"/>
    <n v="25"/>
    <x v="2"/>
    <s v="615-626-2756"/>
    <s v="NAJERA, LIZET"/>
    <n v="103"/>
    <s v="-"/>
    <n v="35"/>
    <s v="-"/>
    <n v="4.66"/>
    <n v="2.38"/>
    <m/>
    <n v="42.04"/>
    <s v="Iphone"/>
    <s v="NAJERA, LIZET"/>
    <s v="SALES NORTH"/>
    <s v="615-626-2756"/>
    <n v="15"/>
  </r>
  <r>
    <x v="0"/>
    <n v="25"/>
    <x v="2"/>
    <s v="615-626-3208"/>
    <s v="LOPEZ, ALEJANDRA C"/>
    <n v="105"/>
    <s v="-"/>
    <n v="35"/>
    <s v="-"/>
    <n v="4.66"/>
    <n v="2.38"/>
    <m/>
    <n v="42.04"/>
    <s v="Iphone"/>
    <s v="LOPEZ, ALEJANDRA C"/>
    <s v="SALES WEST"/>
    <s v="615-626-3208"/>
    <n v="15"/>
  </r>
  <r>
    <x v="0"/>
    <n v="25"/>
    <x v="2"/>
    <s v="615-626-3219"/>
    <s v="TOVAR, ZULLYMAR"/>
    <n v="107"/>
    <s v="-"/>
    <n v="35"/>
    <s v="-"/>
    <n v="4.66"/>
    <n v="2.38"/>
    <m/>
    <n v="42.04"/>
    <n v="0"/>
    <s v="TOVAR, ZULLYMAR"/>
    <s v="SALES CENTRAL"/>
    <s v="615-626-3219"/>
    <n v="15"/>
  </r>
  <r>
    <x v="0"/>
    <n v="25"/>
    <x v="2"/>
    <s v="615-626-4243"/>
    <s v="HERRERA MOLINA, JOSE CARLOS"/>
    <n v="109"/>
    <n v="80.25"/>
    <n v="35"/>
    <s v="-"/>
    <n v="7.93"/>
    <n v="3.94"/>
    <m/>
    <n v="127.12"/>
    <s v="Iphone"/>
    <s v="HERRERA MOLINA, JOSE CARLOS"/>
    <s v="CEO"/>
    <s v="NO"/>
    <n v="25"/>
  </r>
  <r>
    <x v="0"/>
    <n v="25"/>
    <x v="2"/>
    <s v="615-674-8479"/>
    <s v="PRADO, JORGE A"/>
    <n v="111"/>
    <s v="-"/>
    <n v="35"/>
    <n v="25"/>
    <n v="4.66"/>
    <n v="2.38"/>
    <m/>
    <n v="67.040000000000006"/>
    <s v="Iphone"/>
    <s v="PRADO, JORGE A"/>
    <s v="COO"/>
    <s v="NO"/>
    <n v="25"/>
  </r>
  <r>
    <x v="0"/>
    <n v="25"/>
    <x v="2"/>
    <s v="615-691-3166"/>
    <s v="QUIJANO, NICOLAS"/>
    <n v="113"/>
    <s v="-"/>
    <n v="35"/>
    <s v="-"/>
    <n v="4.66"/>
    <n v="2.38"/>
    <m/>
    <n v="42.04"/>
    <s v="Iphone"/>
    <s v="QUIJANO, NICOLAS"/>
    <s v="CFO"/>
    <s v="NO"/>
    <n v="25"/>
  </r>
  <r>
    <x v="0"/>
    <n v="25"/>
    <x v="2"/>
    <s v="615-708-0397"/>
    <s v="MADRIZ, JOHAN"/>
    <n v="115"/>
    <n v="16.55"/>
    <n v="35"/>
    <n v="33.340000000000003"/>
    <n v="5.59"/>
    <n v="2.95"/>
    <m/>
    <n v="93.43"/>
    <s v="Iphone"/>
    <s v="MADRIZ, JOHAN"/>
    <s v="President"/>
    <s v="NO"/>
    <n v="25"/>
  </r>
  <r>
    <x v="0"/>
    <n v="25"/>
    <x v="2"/>
    <s v="615-730-3104"/>
    <s v="TELLO, IVAN E"/>
    <n v="117"/>
    <s v="-"/>
    <n v="35"/>
    <n v="5"/>
    <n v="4.66"/>
    <n v="2.38"/>
    <m/>
    <n v="47.04"/>
    <s v="Iphone"/>
    <s v="TELLO, IVAN E"/>
    <s v="SALES CENTRAL"/>
    <s v="NO"/>
    <n v="25"/>
  </r>
  <r>
    <x v="0"/>
    <n v="25"/>
    <x v="2"/>
    <s v="615-768-6114"/>
    <s v="SILVA, ELISA"/>
    <n v="119"/>
    <s v="-"/>
    <n v="15"/>
    <s v="-"/>
    <n v="3.75"/>
    <s v="-"/>
    <m/>
    <n v="18.75"/>
    <s v="Ipad"/>
    <s v="SILVA, ELISA"/>
    <s v="SALES WEST"/>
    <s v="NO"/>
    <n v="25"/>
  </r>
  <r>
    <x v="0"/>
    <n v="25"/>
    <x v="2"/>
    <s v="615-795-8193"/>
    <s v="REMBERT, ANTORIUS DAVUN"/>
    <n v="121"/>
    <s v="-"/>
    <n v="35"/>
    <s v="-"/>
    <n v="4.66"/>
    <n v="2.38"/>
    <m/>
    <n v="42.04"/>
    <s v="Galaxy "/>
    <s v="REMBERT, ANTORIUS DAVUN"/>
    <s v="LOGISTICS SOUTH"/>
    <s v="615-795-8193"/>
    <n v="15"/>
  </r>
  <r>
    <x v="0"/>
    <n v="25"/>
    <x v="2"/>
    <s v="615-795-8195"/>
    <s v="FERRER BRACHO, MERVIN J"/>
    <n v="123"/>
    <s v="-"/>
    <n v="35"/>
    <s v="-"/>
    <n v="4.66"/>
    <n v="2.38"/>
    <m/>
    <n v="42.04"/>
    <s v="Galaxy "/>
    <s v="FERRER BRACHO, MERVIN J"/>
    <s v="LOGISTICS CENTRAL"/>
    <s v="615-795-8195"/>
    <n v="15"/>
  </r>
  <r>
    <x v="0"/>
    <n v="25"/>
    <x v="2"/>
    <s v="615-804-0516"/>
    <s v="REYES, YULIN"/>
    <n v="125"/>
    <s v="-"/>
    <n v="35"/>
    <s v="-"/>
    <n v="4.66"/>
    <n v="2.38"/>
    <m/>
    <n v="42.04"/>
    <s v="Iphone"/>
    <s v="REYES, YULIN"/>
    <s v="SALES CENTRAL"/>
    <s v="615-804-0516"/>
    <n v="15"/>
  </r>
  <r>
    <x v="0"/>
    <n v="25"/>
    <x v="2"/>
    <s v="615-812-5934"/>
    <s v="QUEVEDO, NAIROVI Y"/>
    <n v="127"/>
    <s v="-"/>
    <n v="35"/>
    <s v="-"/>
    <n v="4.66"/>
    <n v="2.38"/>
    <m/>
    <n v="42.04"/>
    <s v="Iphone"/>
    <s v="QUEVEDO, NAIROVI Y"/>
    <s v="SALES WEST"/>
    <s v="NO"/>
    <n v="25"/>
  </r>
  <r>
    <x v="0"/>
    <n v="25"/>
    <x v="2"/>
    <s v="615-821-7053"/>
    <s v="MACHIN BENCOMO, AMALIA"/>
    <n v="129"/>
    <s v="-"/>
    <n v="15"/>
    <s v="-"/>
    <n v="3.75"/>
    <s v="-"/>
    <m/>
    <n v="18.75"/>
    <s v="Ipad"/>
    <s v="MACHIN BENCOMO, AMALIA"/>
    <s v="SALES CENTRAL"/>
    <s v="NO"/>
    <n v="25"/>
  </r>
  <r>
    <x v="0"/>
    <n v="25"/>
    <x v="2"/>
    <s v="615-821-8577"/>
    <s v="RENYA VIVAS DSD"/>
    <n v="131"/>
    <n v="-1.39"/>
    <n v="15"/>
    <s v="-"/>
    <n v="3.75"/>
    <s v="-"/>
    <m/>
    <n v="17.36"/>
    <n v="0"/>
    <s v="RENYA VIVAS DSD"/>
    <s v="SALES RITEFILL DSD WEST"/>
    <s v="NO"/>
    <n v="25"/>
  </r>
  <r>
    <x v="0"/>
    <n v="25"/>
    <x v="2"/>
    <s v="615-828-8926"/>
    <s v="PALENCIA RODRIGUEZ, LEONARDO R"/>
    <n v="133"/>
    <s v="-"/>
    <n v="35"/>
    <n v="5"/>
    <n v="4.66"/>
    <n v="2.38"/>
    <m/>
    <n v="47.04"/>
    <s v="Iphone"/>
    <s v="PALENCIA RODRIGUEZ, LEONARDO R"/>
    <s v="SALES CENTRAL"/>
    <s v="NO"/>
    <n v="25"/>
  </r>
  <r>
    <x v="0"/>
    <n v="25"/>
    <x v="2"/>
    <s v="615-830-4944"/>
    <s v="PEREZ, YULIER"/>
    <n v="135"/>
    <s v="-"/>
    <n v="35"/>
    <s v="-"/>
    <n v="4.66"/>
    <n v="2.38"/>
    <m/>
    <n v="42.04"/>
    <s v="Galaxy "/>
    <s v="PEREZ, YULIER"/>
    <s v="LOGISTICS CENTRAL"/>
    <s v="615-830-4944"/>
    <n v="15"/>
  </r>
  <r>
    <x v="0"/>
    <n v="25"/>
    <x v="2"/>
    <s v="615-830-6700"/>
    <s v="QUIJANO, NICOLAS"/>
    <n v="137"/>
    <s v="-"/>
    <n v="35"/>
    <s v="-"/>
    <n v="4.66"/>
    <n v="2.38"/>
    <m/>
    <n v="42.04"/>
    <s v="Iphone"/>
    <s v="QUIJANO, NICOLAS"/>
    <s v="CFO"/>
    <s v="NO"/>
    <n v="25"/>
  </r>
  <r>
    <x v="0"/>
    <n v="25"/>
    <x v="2"/>
    <s v="615-840-0789"/>
    <s v="PEREZ HERNANDEZ, NAYRE"/>
    <n v="139"/>
    <s v="-"/>
    <n v="35"/>
    <s v="-"/>
    <n v="4.66"/>
    <n v="2.38"/>
    <m/>
    <n v="42.04"/>
    <s v="Iphone"/>
    <s v="PEREZ HERNANDEZ, NAYRE"/>
    <s v="SALES CENTRAL"/>
    <s v="615-840-0789"/>
    <n v="15"/>
  </r>
  <r>
    <x v="0"/>
    <n v="25"/>
    <x v="2"/>
    <s v="615-854-5649"/>
    <s v="ROA, INGRID MARCELA"/>
    <n v="141"/>
    <s v="-"/>
    <n v="35"/>
    <s v="-"/>
    <n v="4.66"/>
    <n v="2.38"/>
    <m/>
    <n v="42.04"/>
    <s v="Iphone"/>
    <s v="ROA, INGRID MARCELA"/>
    <s v="SALES SOUTH"/>
    <s v="615-854-5649"/>
    <n v="15"/>
  </r>
  <r>
    <x v="0"/>
    <n v="25"/>
    <x v="2"/>
    <s v="615-854-5797"/>
    <s v="TORREALBA TORRES, CAROLINA"/>
    <n v="143"/>
    <s v="-"/>
    <n v="35"/>
    <s v="-"/>
    <n v="4.66"/>
    <n v="2.38"/>
    <m/>
    <n v="42.04"/>
    <s v="Iphone"/>
    <s v="TORREALBA TORRES, CAROLINA"/>
    <s v="SALES WEST"/>
    <s v="615-854-5797"/>
    <n v="15"/>
  </r>
  <r>
    <x v="0"/>
    <n v="25"/>
    <x v="2"/>
    <s v="615-862-1976"/>
    <s v="TANGREDI, JORGE"/>
    <n v="145"/>
    <s v="-"/>
    <n v="35"/>
    <s v="-"/>
    <n v="4.66"/>
    <n v="2.38"/>
    <m/>
    <n v="42.04"/>
    <s v="Galaxy "/>
    <s v="TANGREDI, JORGE"/>
    <s v="LOGISTICS CENTRAL"/>
    <s v="615-862-1976"/>
    <n v="15"/>
  </r>
  <r>
    <x v="0"/>
    <n v="25"/>
    <x v="2"/>
    <s v="615-862-9402"/>
    <s v="BAHENA, RUDY"/>
    <n v="147"/>
    <s v="-"/>
    <n v="35"/>
    <s v="-"/>
    <n v="4.66"/>
    <n v="2.38"/>
    <m/>
    <n v="42.04"/>
    <s v="Galaxy"/>
    <s v="BAHENA, RUDY"/>
    <s v="LOGISTICS WEST"/>
    <s v="NO"/>
    <n v="25"/>
  </r>
  <r>
    <x v="0"/>
    <n v="25"/>
    <x v="2"/>
    <s v="615-878-0405"/>
    <s v="TORRES, LUIS"/>
    <n v="149"/>
    <s v="-"/>
    <n v="35"/>
    <s v="-"/>
    <n v="4.66"/>
    <n v="2.38"/>
    <m/>
    <n v="42.04"/>
    <n v="0"/>
    <s v="TORRES, LUIS"/>
    <s v="MERCHANDISER NORTH"/>
    <s v="615-878-0405"/>
    <n v="15"/>
  </r>
  <r>
    <x v="0"/>
    <n v="25"/>
    <x v="2"/>
    <s v="615-879-8762"/>
    <s v="FUENMAYOR, ANDRES"/>
    <n v="151"/>
    <s v="-"/>
    <n v="35"/>
    <s v="-"/>
    <n v="4.66"/>
    <n v="2.38"/>
    <m/>
    <n v="42.04"/>
    <s v="Galaxy "/>
    <s v="FUENMAYOR, ANDRES"/>
    <s v="LOGISTICS CENTRAL"/>
    <s v="615-879-8762"/>
    <n v="15"/>
  </r>
  <r>
    <x v="0"/>
    <n v="25"/>
    <x v="2"/>
    <s v="615-906-5129"/>
    <s v="BAHENA, RUDY"/>
    <n v="153"/>
    <s v="-"/>
    <n v="35"/>
    <s v="-"/>
    <n v="4.66"/>
    <n v="2.38"/>
    <m/>
    <n v="42.04"/>
    <s v="Galaxy "/>
    <s v="BAHENA, RUDY"/>
    <s v="LOGISTICS WEST"/>
    <s v="615-906-5129"/>
    <n v="15"/>
  </r>
  <r>
    <x v="0"/>
    <n v="25"/>
    <x v="2"/>
    <s v="615-939-6293"/>
    <e v="#N/A"/>
    <n v="155"/>
    <s v="-"/>
    <s v="-"/>
    <s v="-"/>
    <s v="-"/>
    <s v="-"/>
    <m/>
    <n v="0"/>
    <e v="#N/A"/>
    <e v="#N/A"/>
    <e v="#N/A"/>
    <s v="NO"/>
    <n v="25"/>
  </r>
  <r>
    <x v="0"/>
    <n v="25"/>
    <x v="2"/>
    <s v="615-939-8241"/>
    <s v="CARDOZO, ALBERT YVAN"/>
    <n v="157"/>
    <s v="-"/>
    <n v="35"/>
    <s v="-"/>
    <n v="4.66"/>
    <n v="2.38"/>
    <m/>
    <n v="42.04"/>
    <s v="Iphone"/>
    <s v="CARDOZO, ALBERT YVAN"/>
    <s v="SALES RITEFILL DSD CENTRAL"/>
    <s v="615-939-8241"/>
    <n v="15"/>
  </r>
  <r>
    <x v="0"/>
    <n v="25"/>
    <x v="2"/>
    <s v="615-939-9582"/>
    <s v="CASTILLO DUARTE, JOSE EDUARDO"/>
    <n v="159"/>
    <s v="-"/>
    <n v="35"/>
    <s v="-"/>
    <n v="4.66"/>
    <n v="2.38"/>
    <m/>
    <n v="42.04"/>
    <s v="Galaxy"/>
    <s v="CASTILLO DUARTE, JOSE EDUARDO"/>
    <s v="Finance"/>
    <s v="NO"/>
    <n v="25"/>
  </r>
  <r>
    <x v="0"/>
    <n v="25"/>
    <x v="2"/>
    <s v="615-944-5380"/>
    <s v="PALENCIA RODRIGUEZ, LEONARDO R"/>
    <n v="161"/>
    <s v="-"/>
    <n v="15"/>
    <s v="-"/>
    <n v="3.75"/>
    <s v="-"/>
    <m/>
    <n v="18.75"/>
    <s v="Ipad"/>
    <s v="PALENCIA RODRIGUEZ, LEONARDO R"/>
    <s v="SALES CENTRAL"/>
    <s v="NO"/>
    <n v="25"/>
  </r>
  <r>
    <x v="0"/>
    <n v="25"/>
    <x v="2"/>
    <s v="615-945-4365"/>
    <s v="TELLO, IVAN E"/>
    <n v="163"/>
    <s v="-"/>
    <n v="15"/>
    <s v="-"/>
    <n v="3.75"/>
    <s v="-"/>
    <m/>
    <n v="18.75"/>
    <s v="Ipad"/>
    <s v="TELLO, IVAN E"/>
    <s v="SALES CENTRAL"/>
    <s v="NO"/>
    <n v="25"/>
  </r>
  <r>
    <x v="0"/>
    <n v="25"/>
    <x v="2"/>
    <s v="615-961-5944"/>
    <s v="SILVA, ELISA"/>
    <n v="165"/>
    <s v="-"/>
    <n v="35"/>
    <s v="-"/>
    <n v="4.66"/>
    <n v="2.38"/>
    <m/>
    <n v="42.04"/>
    <s v="Iphone"/>
    <s v="SILVA, ELISA"/>
    <s v="SALES WEST"/>
    <s v="615-961-5944"/>
    <n v="15"/>
  </r>
  <r>
    <x v="0"/>
    <n v="25"/>
    <x v="2"/>
    <s v="615-967-4046"/>
    <s v="RIOS BLANDON, AUGUSTO C"/>
    <n v="167"/>
    <s v="-"/>
    <n v="15"/>
    <s v="-"/>
    <n v="3.75"/>
    <s v="-"/>
    <m/>
    <n v="18.75"/>
    <s v="Ipad"/>
    <s v="RIOS BLANDON, AUGUSTO C"/>
    <s v="SALES NORTH"/>
    <s v="NO"/>
    <n v="25"/>
  </r>
  <r>
    <x v="0"/>
    <n v="25"/>
    <x v="2"/>
    <s v="615-969-5642"/>
    <s v="SOLIS SAN ANDRES, KARLA G"/>
    <n v="169"/>
    <s v="-"/>
    <n v="35"/>
    <s v="-"/>
    <n v="4.66"/>
    <n v="2.38"/>
    <m/>
    <n v="42.04"/>
    <s v="Iphone"/>
    <s v="SOLIS SAN ANDRES, KARLA G"/>
    <s v="SALES WEST"/>
    <s v="NO"/>
    <n v="25"/>
  </r>
  <r>
    <x v="0"/>
    <n v="25"/>
    <x v="2"/>
    <s v="615-984-9515"/>
    <s v="SUAREZ LEZCANO, FERNANDO M"/>
    <n v="171"/>
    <s v="-"/>
    <n v="15"/>
    <s v="-"/>
    <n v="3.75"/>
    <s v="-"/>
    <m/>
    <n v="18.75"/>
    <s v="Galaxy "/>
    <s v="SUAREZ LEZCANO, FERNANDO M"/>
    <s v="SALES RITEFILL DSD CENTRAL"/>
    <s v="NO"/>
    <n v="25"/>
  </r>
  <r>
    <x v="0"/>
    <n v="25"/>
    <x v="2"/>
    <s v="629-239-0377"/>
    <s v="LONGA, CARMEN B"/>
    <n v="173"/>
    <s v="-"/>
    <n v="35"/>
    <s v="-"/>
    <n v="4.66"/>
    <n v="2.38"/>
    <m/>
    <n v="42.04"/>
    <s v="Iphone"/>
    <s v="LONGA, CARMEN B"/>
    <s v="LOGISTICS WEST"/>
    <s v="NO"/>
    <n v="25"/>
  </r>
  <r>
    <x v="0"/>
    <n v="25"/>
    <x v="2"/>
    <s v="629-239-0999"/>
    <s v="LUCIO FLORES, JOSE ANGEL"/>
    <n v="175"/>
    <s v="-"/>
    <n v="35"/>
    <s v="-"/>
    <n v="4.66"/>
    <n v="2.38"/>
    <m/>
    <n v="42.04"/>
    <s v="Iphone"/>
    <s v="LUCIO FLORES, JOSE ANGEL"/>
    <s v="SALES NORTH"/>
    <s v="629-239-0999"/>
    <n v="15"/>
  </r>
  <r>
    <x v="0"/>
    <n v="25"/>
    <x v="2"/>
    <s v="629-256-6967"/>
    <s v="GUTIERREZ TOVAR, YNGEL J"/>
    <n v="177"/>
    <s v="-"/>
    <n v="15"/>
    <s v="-"/>
    <n v="3.75"/>
    <s v="-"/>
    <m/>
    <n v="18.75"/>
    <s v="Ipad"/>
    <s v="GUTIERREZ TOVAR, YNGEL J"/>
    <s v="SALES CENTRAL"/>
    <s v="NO"/>
    <n v="25"/>
  </r>
  <r>
    <x v="0"/>
    <n v="25"/>
    <x v="2"/>
    <s v="629-256-9168"/>
    <s v="GUTIERREZ TOVAR, YNGEL J"/>
    <n v="179"/>
    <s v="-"/>
    <n v="35"/>
    <s v="-"/>
    <n v="4.66"/>
    <n v="2.38"/>
    <m/>
    <n v="42.04"/>
    <s v="Iphone"/>
    <s v="GUTIERREZ TOVAR, YNGEL J"/>
    <s v="SALES CENTRAL"/>
    <s v="629-256-9168"/>
    <n v="15"/>
  </r>
  <r>
    <x v="0"/>
    <n v="25"/>
    <x v="2"/>
    <s v="629-264-3070"/>
    <s v="BRITO SALAZAR, RICARDO JOSE"/>
    <n v="181"/>
    <s v="-"/>
    <n v="35"/>
    <s v="-"/>
    <n v="4.66"/>
    <n v="2.38"/>
    <m/>
    <n v="42.04"/>
    <s v="Iphone"/>
    <s v="BRITO SALAZAR, RICARDO JOSE"/>
    <s v="HR"/>
    <s v="NO"/>
    <n v="25"/>
  </r>
  <r>
    <x v="0"/>
    <n v="25"/>
    <x v="2"/>
    <s v="629-285-9899"/>
    <s v="LODYGENSKY, ISABELE"/>
    <n v="183"/>
    <n v="24"/>
    <n v="35"/>
    <n v="20"/>
    <n v="5.28"/>
    <n v="2.76"/>
    <m/>
    <n v="87.04"/>
    <s v="Iphone"/>
    <s v="LODYGENSKY, ISABELE"/>
    <s v="Corpotative ESG 110002"/>
    <s v="NO"/>
    <n v="25"/>
  </r>
  <r>
    <x v="0"/>
    <n v="25"/>
    <x v="2"/>
    <s v="629-318-8877"/>
    <n v="0"/>
    <n v="185"/>
    <s v="-"/>
    <n v="15"/>
    <s v="-"/>
    <n v="3.75"/>
    <s v="-"/>
    <m/>
    <n v="18.75"/>
    <s v="Ipad"/>
    <n v="0"/>
    <s v="SALES RITEFILL DSD SOUTH"/>
    <s v="NO"/>
    <n v="25"/>
  </r>
  <r>
    <x v="0"/>
    <n v="25"/>
    <x v="2"/>
    <s v="629-318-9009"/>
    <e v="#N/A"/>
    <n v="187"/>
    <s v="-"/>
    <n v="10"/>
    <s v="-"/>
    <s v="-"/>
    <s v="-"/>
    <m/>
    <n v="10"/>
    <e v="#N/A"/>
    <e v="#N/A"/>
    <e v="#N/A"/>
    <s v="NO"/>
    <n v="25"/>
  </r>
  <r>
    <x v="0"/>
    <n v="25"/>
    <x v="2"/>
    <s v="629-318-9109"/>
    <s v="VIVAS, REYNA E"/>
    <n v="189"/>
    <s v="-"/>
    <n v="15"/>
    <s v="-"/>
    <n v="3.75"/>
    <s v="-"/>
    <m/>
    <n v="18.75"/>
    <s v="Ipad"/>
    <s v="VIVAS, REYNA E"/>
    <s v="SALES RITEFILL DSD WEST"/>
    <s v="NO"/>
    <n v="25"/>
  </r>
  <r>
    <x v="0"/>
    <n v="25"/>
    <x v="2"/>
    <s v="629-345-1182"/>
    <s v="LACRUZ, ROSMARY"/>
    <n v="191"/>
    <s v="-"/>
    <n v="15"/>
    <s v="-"/>
    <n v="3.75"/>
    <s v="-"/>
    <m/>
    <n v="18.75"/>
    <s v="Ipad"/>
    <s v="LACRUZ, ROSMARY"/>
    <s v="SALES WEST"/>
    <s v="NO"/>
    <n v="25"/>
  </r>
  <r>
    <x v="0"/>
    <n v="25"/>
    <x v="2"/>
    <s v="629-345-1381"/>
    <s v="RIVERO, LUIS MARIANO"/>
    <n v="193"/>
    <s v="-"/>
    <n v="35"/>
    <n v="5.99"/>
    <n v="4.66"/>
    <n v="2.38"/>
    <m/>
    <n v="48.03"/>
    <s v="Iphone"/>
    <s v="RIVERO, LUIS MARIANO"/>
    <s v="SALES CENTRAL"/>
    <s v="NO"/>
    <n v="25"/>
  </r>
  <r>
    <x v="0"/>
    <n v="25"/>
    <x v="2"/>
    <s v="629-345-1574"/>
    <s v="RIVERO, LUIS MARIANO"/>
    <n v="195"/>
    <s v="-"/>
    <n v="15"/>
    <n v="12.78"/>
    <n v="3.75"/>
    <s v="-"/>
    <m/>
    <n v="31.53"/>
    <s v="Ipad"/>
    <s v="RIVERO, LUIS MARIANO"/>
    <s v="SALES CENTRAL"/>
    <s v="NO"/>
    <n v="25"/>
  </r>
  <r>
    <x v="0"/>
    <n v="25"/>
    <x v="2"/>
    <s v="629-345-1642"/>
    <s v="CALDERON, PILAR ESTRADA"/>
    <n v="197"/>
    <s v="-"/>
    <n v="35"/>
    <n v="5.99"/>
    <n v="4.66"/>
    <n v="2.38"/>
    <m/>
    <n v="48.03"/>
    <s v="Iphone"/>
    <s v="CALDERON, PILAR ESTRADA"/>
    <s v="MERCHANDISER SOUTH"/>
    <s v="NO"/>
    <n v="25"/>
  </r>
  <r>
    <x v="0"/>
    <n v="25"/>
    <x v="2"/>
    <s v="629-345-1645"/>
    <s v="GARCIA, RADDY"/>
    <n v="199"/>
    <s v="-"/>
    <n v="35"/>
    <n v="5.99"/>
    <n v="4.66"/>
    <n v="2.38"/>
    <m/>
    <n v="48.03"/>
    <s v="Iphone"/>
    <s v="GARCIA, RADDY"/>
    <s v="SALES NORTH"/>
    <s v="NO"/>
    <n v="25"/>
  </r>
  <r>
    <x v="0"/>
    <n v="25"/>
    <x v="2"/>
    <s v="629-345-1705"/>
    <s v="CALDERON, PILAR ESTRADA"/>
    <n v="201"/>
    <s v="-"/>
    <n v="15"/>
    <n v="12.78"/>
    <n v="3.75"/>
    <s v="-"/>
    <m/>
    <n v="31.53"/>
    <s v="Ipad"/>
    <s v="CALDERON, PILAR ESTRADA"/>
    <s v="MERCHANDISER SOUTH"/>
    <s v="NO"/>
    <n v="25"/>
  </r>
  <r>
    <x v="0"/>
    <n v="25"/>
    <x v="2"/>
    <s v="629-345-1728"/>
    <s v="GARCIA, RADDY"/>
    <n v="203"/>
    <s v="-"/>
    <n v="15"/>
    <n v="12.78"/>
    <n v="3.75"/>
    <s v="-"/>
    <m/>
    <n v="31.53"/>
    <s v="Ipad"/>
    <s v="GARCIA, RADDY"/>
    <s v="SALES NORTH"/>
    <s v="NO"/>
    <n v="25"/>
  </r>
  <r>
    <x v="0"/>
    <n v="25"/>
    <x v="2"/>
    <s v="629-468-1066"/>
    <e v="#N/A"/>
    <n v="205"/>
    <s v="-"/>
    <s v="-"/>
    <n v="5.99"/>
    <s v="-"/>
    <s v="-"/>
    <m/>
    <n v="5.99"/>
    <e v="#N/A"/>
    <e v="#N/A"/>
    <e v="#N/A"/>
    <s v="NO"/>
    <n v="25"/>
  </r>
  <r>
    <x v="0"/>
    <n v="25"/>
    <x v="2"/>
    <s v="629-468-8256"/>
    <s v="VIVAS, REYNA E"/>
    <n v="207"/>
    <s v="-"/>
    <n v="35"/>
    <s v="-"/>
    <n v="4.66"/>
    <n v="2.38"/>
    <m/>
    <n v="42.04"/>
    <n v="0"/>
    <s v="VIVAS, REYNA E"/>
    <s v="SALES RITEFILL DSD WEST"/>
    <s v="NO"/>
    <n v="25"/>
  </r>
  <r>
    <x v="0"/>
    <n v="25"/>
    <x v="2"/>
    <s v="629-729-3287"/>
    <s v="CHANCHAMIRE, RAFAEL A"/>
    <n v="209"/>
    <s v="-"/>
    <n v="15"/>
    <s v="-"/>
    <n v="3.75"/>
    <s v="-"/>
    <m/>
    <n v="18.75"/>
    <s v="Ipad"/>
    <s v="CHANCHAMIRE, RAFAEL A"/>
    <s v="SALES WEST"/>
    <s v="NO"/>
    <n v="25"/>
  </r>
  <r>
    <x v="0"/>
    <n v="25"/>
    <x v="2"/>
    <s v="629-729-3294"/>
    <s v="SHINE, EDILIA D"/>
    <n v="211"/>
    <s v="-"/>
    <n v="15"/>
    <s v="-"/>
    <n v="3.75"/>
    <s v="-"/>
    <m/>
    <n v="18.75"/>
    <s v="Ipad"/>
    <s v="SHINE, EDILIA D"/>
    <s v="SALES NORTH"/>
    <s v="NO"/>
    <n v="25"/>
  </r>
  <r>
    <x v="0"/>
    <n v="25"/>
    <x v="2"/>
    <s v="659-268-2242"/>
    <n v="0"/>
    <n v="213"/>
    <s v="-"/>
    <n v="25"/>
    <s v="-"/>
    <n v="4.53"/>
    <n v="4"/>
    <m/>
    <n v="33.53"/>
    <n v="0"/>
    <n v="0"/>
    <s v="SALES RITEFILL DSD SOUTH"/>
    <s v="NO"/>
    <n v="25"/>
  </r>
  <r>
    <x v="0"/>
    <n v="25"/>
    <x v="2"/>
    <s v="678-477-4654"/>
    <s v="IPAD SALES"/>
    <n v="215"/>
    <s v="-"/>
    <n v="15"/>
    <s v="-"/>
    <n v="3.75"/>
    <s v="-"/>
    <m/>
    <n v="18.75"/>
    <s v="no aplica"/>
    <s v="IPAD SALES"/>
    <s v="ATLANTA"/>
    <s v="NO"/>
    <n v="25"/>
  </r>
  <r>
    <x v="0"/>
    <n v="25"/>
    <x v="2"/>
    <s v="678-579-7572"/>
    <s v="GABRIEL ABOUK..."/>
    <n v="217"/>
    <s v="-"/>
    <n v="35"/>
    <s v="-"/>
    <n v="4.66"/>
    <n v="2.2400000000000002"/>
    <m/>
    <n v="41.9"/>
    <s v="no aplica"/>
    <s v="GABRIEL ABOUK..."/>
    <s v="ATLANTA"/>
    <s v="NO"/>
    <n v="25"/>
  </r>
  <r>
    <x v="0"/>
    <n v="25"/>
    <x v="2"/>
    <s v="678-748-6121"/>
    <s v="GUSTAVO MORILLO"/>
    <n v="219"/>
    <s v="-"/>
    <n v="35"/>
    <s v="-"/>
    <n v="4.66"/>
    <n v="2.2400000000000002"/>
    <m/>
    <n v="41.9"/>
    <s v="no aplica"/>
    <s v="GUSTAVO MORILLO"/>
    <s v="ATLANTA"/>
    <s v="NO"/>
    <n v="25"/>
  </r>
  <r>
    <x v="0"/>
    <n v="25"/>
    <x v="2"/>
    <s v="678-906-8991"/>
    <s v="ROSALINA SOCORRO"/>
    <n v="221"/>
    <s v="-"/>
    <n v="35"/>
    <s v="-"/>
    <n v="4.66"/>
    <n v="2.2400000000000002"/>
    <m/>
    <n v="41.9"/>
    <s v="no aplica"/>
    <s v="ROSALINA SOCORRO"/>
    <s v="ATLANTA"/>
    <s v="NO"/>
    <n v="25"/>
  </r>
  <r>
    <x v="0"/>
    <n v="25"/>
    <x v="2"/>
    <s v="678-925-1523"/>
    <s v="IPAD SALES"/>
    <n v="223"/>
    <s v="-"/>
    <n v="15"/>
    <s v="-"/>
    <n v="3.75"/>
    <s v="-"/>
    <m/>
    <n v="18.75"/>
    <s v="no aplica"/>
    <s v="IPAD SALES"/>
    <s v="ATLANTA"/>
    <s v="NO"/>
    <n v="25"/>
  </r>
  <r>
    <x v="0"/>
    <n v="25"/>
    <x v="2"/>
    <s v="678-925-4534"/>
    <s v="ABIGAIL QUINTERO"/>
    <n v="225"/>
    <s v="-"/>
    <n v="35"/>
    <s v="-"/>
    <n v="4.66"/>
    <n v="2.2400000000000002"/>
    <m/>
    <n v="41.9"/>
    <s v="no aplica"/>
    <s v="ABIGAIL QUINTERO"/>
    <s v="ATLANTA"/>
    <s v="NO"/>
    <n v="25"/>
  </r>
  <r>
    <x v="0"/>
    <n v="25"/>
    <x v="2"/>
    <s v="678-925-6858"/>
    <s v="IPAD SALES"/>
    <n v="227"/>
    <s v="-"/>
    <n v="15"/>
    <s v="-"/>
    <n v="3.75"/>
    <s v="-"/>
    <m/>
    <n v="18.75"/>
    <s v="no aplica"/>
    <s v="IPAD SALES"/>
    <s v="ATLANTA"/>
    <s v="NO"/>
    <n v="25"/>
  </r>
  <r>
    <x v="0"/>
    <n v="25"/>
    <x v="2"/>
    <s v="865-334-0516"/>
    <s v="ROJAS, FABIOLA V"/>
    <n v="229"/>
    <s v="-"/>
    <n v="35"/>
    <n v="5"/>
    <n v="4.66"/>
    <n v="2.38"/>
    <m/>
    <n v="47.04"/>
    <s v="Iphone"/>
    <s v="ROJAS, FABIOLA V"/>
    <s v="MERCHANDISER CENTRAL"/>
    <s v="NO"/>
    <n v="25"/>
  </r>
  <r>
    <x v="0"/>
    <n v="25"/>
    <x v="2"/>
    <s v="865-396-3526"/>
    <s v="VELIZ, CARLOS A"/>
    <n v="231"/>
    <s v="-"/>
    <n v="35"/>
    <s v="-"/>
    <n v="4.66"/>
    <n v="2.38"/>
    <m/>
    <n v="42.04"/>
    <s v="Iphone"/>
    <s v="VELIZ, CARLOS A"/>
    <s v="SALES CENTRAL"/>
    <s v="865-396-3526"/>
    <n v="15"/>
  </r>
  <r>
    <x v="0"/>
    <n v="25"/>
    <x v="2"/>
    <s v="865-396-3528"/>
    <s v="VELIZ, CARLOS A"/>
    <n v="233"/>
    <s v="-"/>
    <n v="15"/>
    <s v="-"/>
    <n v="3.75"/>
    <s v="-"/>
    <m/>
    <n v="18.75"/>
    <s v="Ipad"/>
    <s v="VELIZ, CARLOS A"/>
    <s v="SALES CENTRAL"/>
    <s v="NO"/>
    <n v="25"/>
  </r>
  <r>
    <x v="0"/>
    <n v="25"/>
    <x v="2"/>
    <s v="901-275-5428"/>
    <s v="RODRIGUEZ, VERUUZKO"/>
    <n v="235"/>
    <s v="-"/>
    <n v="35"/>
    <s v="-"/>
    <n v="4.66"/>
    <n v="2.38"/>
    <m/>
    <n v="42.04"/>
    <s v="Iphone"/>
    <s v="RODRIGUEZ, VERUUZKO"/>
    <s v="SALES CENTRAL"/>
    <s v="901-275-5428"/>
    <n v="15"/>
  </r>
  <r>
    <x v="0"/>
    <n v="25"/>
    <x v="2"/>
    <s v="901-410-6734"/>
    <s v="RODRIGUEZ SR, CHRISTIAN MICHEAL"/>
    <n v="237"/>
    <s v="-"/>
    <n v="35"/>
    <s v="-"/>
    <n v="4.66"/>
    <n v="2.38"/>
    <m/>
    <n v="42.04"/>
    <s v="Galaxy"/>
    <s v="RODRIGUEZ SR, CHRISTIAN MICHEAL"/>
    <s v="LOGISTIC SOUTH"/>
    <s v="NO"/>
    <n v="25"/>
  </r>
  <r>
    <x v="0"/>
    <n v="25"/>
    <x v="2"/>
    <s v="901-427-2093"/>
    <s v="SUAREZ, ANDRES E"/>
    <n v="239"/>
    <s v="-"/>
    <n v="35"/>
    <s v="-"/>
    <n v="4.66"/>
    <n v="2.38"/>
    <m/>
    <n v="42.04"/>
    <s v="Galaxy "/>
    <s v="SUAREZ, ANDRES E"/>
    <s v="LOGISTICS CENTRAL"/>
    <s v="901-427-2093"/>
    <n v="15"/>
  </r>
  <r>
    <x v="0"/>
    <n v="25"/>
    <x v="2"/>
    <s v="901-456-2279"/>
    <e v="#N/A"/>
    <n v="241"/>
    <s v="-"/>
    <m/>
    <n v="5"/>
    <s v="-"/>
    <s v="-"/>
    <m/>
    <n v="5"/>
    <e v="#N/A"/>
    <e v="#N/A"/>
    <e v="#N/A"/>
    <s v="NO"/>
    <n v="25"/>
  </r>
  <r>
    <x v="0"/>
    <n v="25"/>
    <x v="2"/>
    <s v="901-464-6471"/>
    <s v="MADRIGAL GARCIA, HELEN C"/>
    <n v="243"/>
    <s v="-"/>
    <n v="35"/>
    <n v="-0.79"/>
    <n v="4.66"/>
    <n v="2.38"/>
    <m/>
    <n v="41.25"/>
    <s v="Iphone"/>
    <s v="MADRIGAL GARCIA, HELEN C"/>
    <s v="SALES NORTH"/>
    <s v="NO"/>
    <n v="25"/>
  </r>
  <r>
    <x v="0"/>
    <n v="25"/>
    <x v="2"/>
    <s v="901-467-5902"/>
    <s v="MADRIGAL GARCIA, HELEN C"/>
    <n v="245"/>
    <s v="-"/>
    <n v="15"/>
    <s v="-"/>
    <n v="3.75"/>
    <s v="-"/>
    <m/>
    <n v="18.75"/>
    <s v="Ipad"/>
    <s v="MADRIGAL GARCIA, HELEN C"/>
    <s v="SALES NORTH"/>
    <s v="NO"/>
    <n v="25"/>
  </r>
  <r>
    <x v="0"/>
    <n v="25"/>
    <x v="2"/>
    <s v="901-500-6953"/>
    <s v="RODRIGUEZ MELENDEZ, CESAR ANIBAL"/>
    <n v="247"/>
    <s v="-"/>
    <n v="35"/>
    <s v="-"/>
    <n v="4.66"/>
    <n v="2.38"/>
    <m/>
    <n v="42.04"/>
    <s v="Galaxy "/>
    <s v="RODRIGUEZ MELENDEZ, CESAR ANIBAL"/>
    <s v="LOGISTICS NORTH"/>
    <s v="901-500-6953"/>
    <n v="15"/>
  </r>
  <r>
    <x v="0"/>
    <n v="25"/>
    <x v="2"/>
    <s v="901-581-6397"/>
    <s v="AVALOS, JOSEFINA"/>
    <n v="249"/>
    <s v="-"/>
    <n v="35"/>
    <s v="-"/>
    <n v="4.66"/>
    <n v="2.38"/>
    <m/>
    <n v="42.04"/>
    <s v="Iphone"/>
    <s v="AVALOS, JOSEFINA"/>
    <s v="SALES WEST"/>
    <s v="NO"/>
    <n v="25"/>
  </r>
  <r>
    <x v="0"/>
    <n v="25"/>
    <x v="2"/>
    <s v="901-585-9984"/>
    <s v="DE LA TORRE, LUIS G"/>
    <n v="251"/>
    <s v="-"/>
    <n v="35"/>
    <s v="-"/>
    <n v="4.66"/>
    <n v="2.38"/>
    <m/>
    <n v="42.04"/>
    <s v="Galaxy "/>
    <s v="DE LA TORRE, LUIS G"/>
    <s v="LOGISTICS WEST"/>
    <s v="901-585-9984"/>
    <n v="15"/>
  </r>
  <r>
    <x v="0"/>
    <n v="25"/>
    <x v="2"/>
    <s v="901-607-5291"/>
    <s v="CORPUS, BENY A"/>
    <n v="253"/>
    <n v="18"/>
    <n v="35"/>
    <s v="-"/>
    <n v="11.25"/>
    <n v="3.73"/>
    <m/>
    <n v="67.98"/>
    <s v="Galaxy "/>
    <s v="CORPUS, BENY A"/>
    <s v="LOGISTICS CENTRAL"/>
    <s v="901-607-5291"/>
    <n v="15"/>
  </r>
  <r>
    <x v="0"/>
    <n v="25"/>
    <x v="2"/>
    <s v="901-649-5850"/>
    <s v="CHANCHAMIRE, RAFAEL A"/>
    <n v="255"/>
    <s v="-"/>
    <n v="35"/>
    <n v="5.99"/>
    <n v="4.66"/>
    <n v="2.38"/>
    <m/>
    <n v="48.03"/>
    <s v="Iphone"/>
    <s v="CHANCHAMIRE, RAFAEL A"/>
    <s v="SALES WEST"/>
    <s v="NO"/>
    <n v="25"/>
  </r>
  <r>
    <x v="0"/>
    <n v="25"/>
    <x v="2"/>
    <s v="901-713-7796"/>
    <s v="FERREIRA, ANA CAROLINA"/>
    <n v="257"/>
    <n v="-35"/>
    <n v="50"/>
    <s v="-"/>
    <n v="4.2300000000000004"/>
    <n v="1.92"/>
    <m/>
    <n v="21.15"/>
    <s v="Iphone"/>
    <s v="FERREIRA, ANA CAROLINA"/>
    <s v="MERCHANDISER WEST"/>
    <s v="901-713-7796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BF219-1F15-4071-AF6A-049F7EFDF5A3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6" firstHeaderRow="0" firstDataRow="1" firstDataCol="1"/>
  <pivotFields count="18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numFmtId="44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ISADO" fld="12" baseField="0" baseItem="0"/>
    <dataField name="Sum of VALOR AJUSTADO" fld="17" baseField="0" baseItem="0" numFmtId="44"/>
  </dataFields>
  <formats count="2">
    <format dxfId="69">
      <pivotArea outline="0" collapsedLevelsAreSubtotals="1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1EFA-7CF0-4000-A9B2-ED54A727ACE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 rowPageCount="1" colPageCount="1"/>
  <pivotFields count="18">
    <pivotField axis="axisPage" showAll="0">
      <items count="2"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REVISADO" fld="12" baseField="0" baseItem="0"/>
    <dataField name="Sum of VALOR AJUSTADO" fld="17" baseField="0" baseItem="0" numFmtId="44"/>
  </dataFields>
  <formats count="1">
    <format dxfId="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EA46-639E-4723-BF92-6F31CE47CC75}">
  <dimension ref="A3:C6"/>
  <sheetViews>
    <sheetView workbookViewId="0">
      <selection activeCell="C11" sqref="C11"/>
    </sheetView>
  </sheetViews>
  <sheetFormatPr defaultRowHeight="14.4" x14ac:dyDescent="0.3"/>
  <cols>
    <col min="1" max="1" width="13" bestFit="1" customWidth="1"/>
    <col min="2" max="2" width="24.109375" bestFit="1" customWidth="1"/>
    <col min="3" max="3" width="24.5546875" bestFit="1" customWidth="1"/>
  </cols>
  <sheetData>
    <row r="3" spans="1:3" x14ac:dyDescent="0.3">
      <c r="A3" s="38" t="s">
        <v>0</v>
      </c>
      <c r="B3" s="40" t="s">
        <v>1</v>
      </c>
      <c r="C3" s="40" t="s">
        <v>2</v>
      </c>
    </row>
    <row r="4" spans="1:3" x14ac:dyDescent="0.3">
      <c r="A4" s="39">
        <v>3</v>
      </c>
      <c r="B4" s="40">
        <v>6238.2299999999877</v>
      </c>
      <c r="C4" s="40">
        <v>2585</v>
      </c>
    </row>
    <row r="5" spans="1:3" x14ac:dyDescent="0.3">
      <c r="A5" s="39">
        <v>4</v>
      </c>
      <c r="B5" s="40">
        <v>3827.9699999999971</v>
      </c>
      <c r="C5" s="40">
        <v>2157.7799999999997</v>
      </c>
    </row>
    <row r="6" spans="1:3" x14ac:dyDescent="0.3">
      <c r="A6" s="39" t="s">
        <v>3</v>
      </c>
      <c r="B6" s="40">
        <v>10066.199999999984</v>
      </c>
      <c r="C6" s="40">
        <v>4742.78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6C6D-1EF6-4A7F-BB8D-C03ECEB51CFA}">
  <dimension ref="A1:W348"/>
  <sheetViews>
    <sheetView showGridLines="0" topLeftCell="A231" workbookViewId="0">
      <selection activeCell="K348" sqref="K348"/>
    </sheetView>
  </sheetViews>
  <sheetFormatPr defaultRowHeight="14.4" x14ac:dyDescent="0.3"/>
  <cols>
    <col min="2" max="2" width="27.33203125" bestFit="1" customWidth="1"/>
    <col min="3" max="3" width="11.33203125" bestFit="1" customWidth="1"/>
    <col min="4" max="4" width="15.77734375" bestFit="1" customWidth="1"/>
    <col min="5" max="5" width="11" bestFit="1" customWidth="1"/>
    <col min="14" max="14" width="18" bestFit="1" customWidth="1"/>
    <col min="15" max="15" width="11.109375" bestFit="1" customWidth="1"/>
    <col min="16" max="16" width="10.44140625" bestFit="1" customWidth="1"/>
    <col min="17" max="17" width="10.21875" bestFit="1" customWidth="1"/>
    <col min="21" max="21" width="10.21875" bestFit="1" customWidth="1"/>
    <col min="22" max="22" width="12" bestFit="1" customWidth="1"/>
    <col min="23" max="23" width="14.77734375" style="26" bestFit="1" customWidth="1"/>
  </cols>
  <sheetData>
    <row r="1" spans="1:23" ht="100.8" x14ac:dyDescent="0.3">
      <c r="A1" s="73" t="s">
        <v>1045</v>
      </c>
      <c r="B1" s="73" t="s">
        <v>13</v>
      </c>
      <c r="C1" s="73" t="s">
        <v>1046</v>
      </c>
      <c r="D1" s="73" t="s">
        <v>6</v>
      </c>
      <c r="E1" s="73" t="s">
        <v>5</v>
      </c>
      <c r="F1" s="73" t="s">
        <v>1047</v>
      </c>
      <c r="G1" s="74" t="s">
        <v>1048</v>
      </c>
      <c r="H1" s="74" t="s">
        <v>1049</v>
      </c>
      <c r="I1" s="75" t="s">
        <v>1050</v>
      </c>
      <c r="J1" s="75" t="s">
        <v>1051</v>
      </c>
      <c r="K1" s="75" t="s">
        <v>1052</v>
      </c>
      <c r="L1" s="75" t="s">
        <v>1053</v>
      </c>
      <c r="M1" s="75" t="s">
        <v>1054</v>
      </c>
      <c r="N1" s="75" t="s">
        <v>1055</v>
      </c>
      <c r="O1" s="75" t="s">
        <v>1056</v>
      </c>
      <c r="P1" s="75" t="s">
        <v>1057</v>
      </c>
      <c r="Q1" s="76" t="s">
        <v>1058</v>
      </c>
      <c r="R1" s="77" t="s">
        <v>1059</v>
      </c>
      <c r="S1" s="77" t="s">
        <v>1060</v>
      </c>
      <c r="T1" s="77" t="s">
        <v>1061</v>
      </c>
      <c r="U1" s="77" t="s">
        <v>1254</v>
      </c>
      <c r="V1" s="77" t="s">
        <v>1255</v>
      </c>
      <c r="W1" s="119" t="s">
        <v>1256</v>
      </c>
    </row>
    <row r="2" spans="1:23" x14ac:dyDescent="0.3">
      <c r="A2" t="s">
        <v>1062</v>
      </c>
      <c r="B2" s="46" t="s">
        <v>22</v>
      </c>
      <c r="C2" s="46" t="s">
        <v>1063</v>
      </c>
      <c r="D2" s="46">
        <v>6</v>
      </c>
      <c r="E2" s="46">
        <v>2025</v>
      </c>
      <c r="F2" s="46">
        <v>9</v>
      </c>
      <c r="G2" s="78" t="s">
        <v>259</v>
      </c>
      <c r="H2" s="79" t="s">
        <v>38</v>
      </c>
      <c r="I2" s="78" t="s">
        <v>1064</v>
      </c>
      <c r="J2" s="78" t="s">
        <v>30</v>
      </c>
      <c r="K2" s="80" t="s">
        <v>261</v>
      </c>
      <c r="L2" s="80" t="s">
        <v>30</v>
      </c>
      <c r="M2" s="80" t="s">
        <v>30</v>
      </c>
      <c r="N2" s="80" t="s">
        <v>30</v>
      </c>
      <c r="O2" s="78"/>
      <c r="P2" s="81">
        <v>40</v>
      </c>
      <c r="Q2" s="39">
        <v>60311003</v>
      </c>
      <c r="R2" s="46" t="s">
        <v>1065</v>
      </c>
      <c r="S2" s="46" t="s">
        <v>1066</v>
      </c>
      <c r="T2" s="46" t="s">
        <v>1067</v>
      </c>
      <c r="U2" t="str">
        <f>IFERROR(+VLOOKUP(H2,'DISPOSITIVOS ACTIVOS'!B:D,3,FALSE),"IPHONE")</f>
        <v>no aplica</v>
      </c>
      <c r="V2" t="str">
        <f>IFERROR(+VLOOKUP(H2,'[1]Migracion feb25 Ver to ATT'!$B:$G,6,FALSE), "NO MIGRADO")</f>
        <v>NO MIGRADO</v>
      </c>
      <c r="W2" s="26">
        <v>25</v>
      </c>
    </row>
    <row r="3" spans="1:23" x14ac:dyDescent="0.3">
      <c r="A3" t="s">
        <v>1062</v>
      </c>
      <c r="B3" s="46" t="s">
        <v>22</v>
      </c>
      <c r="C3" s="46" t="s">
        <v>1063</v>
      </c>
      <c r="D3" s="46">
        <v>6</v>
      </c>
      <c r="E3" s="46">
        <v>2025</v>
      </c>
      <c r="F3" s="46">
        <v>9</v>
      </c>
      <c r="G3" s="50" t="s">
        <v>39</v>
      </c>
      <c r="H3" s="37" t="s">
        <v>38</v>
      </c>
      <c r="I3" s="50" t="s">
        <v>268</v>
      </c>
      <c r="J3" s="50" t="s">
        <v>30</v>
      </c>
      <c r="K3" s="51" t="s">
        <v>297</v>
      </c>
      <c r="L3" s="50" t="s">
        <v>30</v>
      </c>
      <c r="M3" s="51" t="s">
        <v>264</v>
      </c>
      <c r="N3" s="50" t="s">
        <v>30</v>
      </c>
      <c r="O3" s="50"/>
      <c r="P3" s="82">
        <v>18.75</v>
      </c>
      <c r="Q3" s="39">
        <v>60311003</v>
      </c>
      <c r="R3" s="46" t="s">
        <v>1065</v>
      </c>
      <c r="S3" s="46" t="s">
        <v>1066</v>
      </c>
      <c r="T3" s="46" t="s">
        <v>1067</v>
      </c>
      <c r="U3" t="str">
        <f>IFERROR(+VLOOKUP(H3,'DISPOSITIVOS ACTIVOS'!B:D,3,FALSE),"IPHONE")</f>
        <v>no aplica</v>
      </c>
      <c r="V3" t="str">
        <f>IFERROR(+VLOOKUP(H3,'[1]Migracion feb25 Ver to ATT'!$B:$G,6,FALSE), "NO MIGRADO")</f>
        <v>NO MIGRADO</v>
      </c>
      <c r="W3" s="26">
        <v>25</v>
      </c>
    </row>
    <row r="4" spans="1:23" x14ac:dyDescent="0.3">
      <c r="A4" t="s">
        <v>1062</v>
      </c>
      <c r="B4" s="46" t="s">
        <v>22</v>
      </c>
      <c r="C4" s="46" t="s">
        <v>1063</v>
      </c>
      <c r="D4" s="46">
        <v>6</v>
      </c>
      <c r="E4" s="46">
        <v>2025</v>
      </c>
      <c r="F4" s="46">
        <v>9</v>
      </c>
      <c r="G4" s="47" t="s">
        <v>265</v>
      </c>
      <c r="H4" s="37" t="s">
        <v>41</v>
      </c>
      <c r="I4" s="47" t="s">
        <v>1064</v>
      </c>
      <c r="J4" s="47" t="s">
        <v>30</v>
      </c>
      <c r="K4" s="48" t="s">
        <v>261</v>
      </c>
      <c r="L4" s="47" t="s">
        <v>30</v>
      </c>
      <c r="M4" s="48" t="s">
        <v>30</v>
      </c>
      <c r="N4" s="48" t="s">
        <v>30</v>
      </c>
      <c r="O4" s="47"/>
      <c r="P4" s="83">
        <v>40</v>
      </c>
      <c r="Q4" s="39">
        <v>60311003</v>
      </c>
      <c r="R4" s="46" t="s">
        <v>1065</v>
      </c>
      <c r="S4" s="46" t="s">
        <v>1066</v>
      </c>
      <c r="T4" s="46" t="s">
        <v>1067</v>
      </c>
      <c r="U4" t="str">
        <f>IFERROR(+VLOOKUP(H4,'DISPOSITIVOS ACTIVOS'!B:D,3,FALSE),"IPHONE")</f>
        <v>no aplica</v>
      </c>
      <c r="V4" t="str">
        <f>IFERROR(+VLOOKUP(H4,'[1]Migracion feb25 Ver to ATT'!$B:$G,6,FALSE), "NO MIGRADO")</f>
        <v>NO MIGRADO</v>
      </c>
      <c r="W4" s="26">
        <v>25</v>
      </c>
    </row>
    <row r="5" spans="1:23" x14ac:dyDescent="0.3">
      <c r="A5" t="s">
        <v>1062</v>
      </c>
      <c r="B5" s="46" t="s">
        <v>22</v>
      </c>
      <c r="C5" s="46" t="s">
        <v>1063</v>
      </c>
      <c r="D5" s="46">
        <v>6</v>
      </c>
      <c r="E5" s="46">
        <v>2025</v>
      </c>
      <c r="F5" s="46">
        <v>9</v>
      </c>
      <c r="G5" s="50" t="s">
        <v>42</v>
      </c>
      <c r="H5" s="37" t="s">
        <v>41</v>
      </c>
      <c r="I5" s="50" t="s">
        <v>277</v>
      </c>
      <c r="J5" s="50" t="s">
        <v>30</v>
      </c>
      <c r="K5" s="51" t="s">
        <v>297</v>
      </c>
      <c r="L5" s="50" t="s">
        <v>30</v>
      </c>
      <c r="M5" s="51" t="s">
        <v>264</v>
      </c>
      <c r="N5" s="51" t="s">
        <v>30</v>
      </c>
      <c r="O5" s="50"/>
      <c r="P5" s="82">
        <v>18.75</v>
      </c>
      <c r="Q5" s="39">
        <v>60311003</v>
      </c>
      <c r="R5" s="46" t="s">
        <v>1065</v>
      </c>
      <c r="S5" s="46" t="s">
        <v>1066</v>
      </c>
      <c r="T5" s="46" t="s">
        <v>1067</v>
      </c>
      <c r="U5" t="str">
        <f>IFERROR(+VLOOKUP(H5,'DISPOSITIVOS ACTIVOS'!B:D,3,FALSE),"IPHONE")</f>
        <v>no aplica</v>
      </c>
      <c r="V5" t="str">
        <f>IFERROR(+VLOOKUP(H5,'[1]Migracion feb25 Ver to ATT'!$B:$G,6,FALSE), "NO MIGRADO")</f>
        <v>NO MIGRADO</v>
      </c>
      <c r="W5" s="26">
        <v>25</v>
      </c>
    </row>
    <row r="6" spans="1:23" x14ac:dyDescent="0.3">
      <c r="A6" t="s">
        <v>1062</v>
      </c>
      <c r="B6" s="46" t="s">
        <v>22</v>
      </c>
      <c r="C6" s="46" t="s">
        <v>1063</v>
      </c>
      <c r="D6" s="46">
        <v>6</v>
      </c>
      <c r="E6" s="46">
        <v>2025</v>
      </c>
      <c r="F6" s="46">
        <v>9</v>
      </c>
      <c r="G6" s="47" t="s">
        <v>64</v>
      </c>
      <c r="H6" s="36" t="s">
        <v>63</v>
      </c>
      <c r="I6" s="47" t="s">
        <v>284</v>
      </c>
      <c r="J6" s="47" t="s">
        <v>1068</v>
      </c>
      <c r="K6" s="48" t="s">
        <v>304</v>
      </c>
      <c r="L6" s="47" t="s">
        <v>288</v>
      </c>
      <c r="M6" s="48" t="s">
        <v>1069</v>
      </c>
      <c r="N6" s="48" t="s">
        <v>1070</v>
      </c>
      <c r="O6" s="47"/>
      <c r="P6" s="83">
        <v>40.369999999999997</v>
      </c>
      <c r="Q6" s="39">
        <v>60311005</v>
      </c>
      <c r="R6" s="46" t="s">
        <v>1065</v>
      </c>
      <c r="S6" s="46" t="s">
        <v>1066</v>
      </c>
      <c r="T6" s="46" t="s">
        <v>1071</v>
      </c>
      <c r="U6" t="str">
        <f>IFERROR(+VLOOKUP(H6,'DISPOSITIVOS ACTIVOS'!B:D,3,FALSE),"IPHONE")</f>
        <v>Iphone</v>
      </c>
      <c r="V6" t="str">
        <f>IFERROR(+VLOOKUP(H6,'[1]Migracion feb25 Ver to ATT'!$B:$G,6,FALSE), "NO MIGRADO")</f>
        <v>NO MIGRADO</v>
      </c>
      <c r="W6" s="26">
        <v>25</v>
      </c>
    </row>
    <row r="7" spans="1:23" x14ac:dyDescent="0.3">
      <c r="A7" t="s">
        <v>1062</v>
      </c>
      <c r="B7" s="46" t="s">
        <v>22</v>
      </c>
      <c r="C7" s="46" t="s">
        <v>1063</v>
      </c>
      <c r="D7" s="46">
        <v>6</v>
      </c>
      <c r="E7" s="46">
        <v>2025</v>
      </c>
      <c r="F7" s="46">
        <v>9</v>
      </c>
      <c r="G7" s="50" t="s">
        <v>66</v>
      </c>
      <c r="H7" s="37" t="s">
        <v>65</v>
      </c>
      <c r="I7" s="50" t="s">
        <v>262</v>
      </c>
      <c r="J7" s="51" t="s">
        <v>1068</v>
      </c>
      <c r="K7" s="51" t="s">
        <v>527</v>
      </c>
      <c r="L7" s="50" t="s">
        <v>30</v>
      </c>
      <c r="M7" s="51" t="s">
        <v>1072</v>
      </c>
      <c r="N7" s="51" t="s">
        <v>1073</v>
      </c>
      <c r="O7" s="50"/>
      <c r="P7" s="82">
        <v>60.24</v>
      </c>
      <c r="Q7" s="39">
        <v>60311005</v>
      </c>
      <c r="R7" s="46" t="s">
        <v>1065</v>
      </c>
      <c r="S7" s="46" t="s">
        <v>1066</v>
      </c>
      <c r="T7" s="46" t="s">
        <v>1071</v>
      </c>
      <c r="U7" t="str">
        <f>IFERROR(+VLOOKUP(H7,'DISPOSITIVOS ACTIVOS'!B:D,3,FALSE),"IPHONE")</f>
        <v>Iphone</v>
      </c>
      <c r="V7" t="str">
        <f>IFERROR(+VLOOKUP(H7,'[1]Migracion feb25 Ver to ATT'!$B:$G,6,FALSE), "NO MIGRADO")</f>
        <v>Iphone</v>
      </c>
      <c r="W7" s="26">
        <v>15</v>
      </c>
    </row>
    <row r="8" spans="1:23" x14ac:dyDescent="0.3">
      <c r="A8" t="s">
        <v>1062</v>
      </c>
      <c r="B8" s="46" t="s">
        <v>22</v>
      </c>
      <c r="C8" s="46" t="s">
        <v>1063</v>
      </c>
      <c r="D8" s="46">
        <v>6</v>
      </c>
      <c r="E8" s="46">
        <v>2025</v>
      </c>
      <c r="F8" s="46">
        <v>9</v>
      </c>
      <c r="G8" s="47" t="s">
        <v>68</v>
      </c>
      <c r="H8" s="36" t="s">
        <v>67</v>
      </c>
      <c r="I8" s="47" t="s">
        <v>266</v>
      </c>
      <c r="J8" s="47" t="s">
        <v>1068</v>
      </c>
      <c r="K8" s="48" t="s">
        <v>527</v>
      </c>
      <c r="L8" s="48" t="s">
        <v>30</v>
      </c>
      <c r="M8" s="48" t="s">
        <v>1072</v>
      </c>
      <c r="N8" s="48" t="s">
        <v>1073</v>
      </c>
      <c r="O8" s="47"/>
      <c r="P8" s="83">
        <v>60.24</v>
      </c>
      <c r="Q8" s="39">
        <v>60311005</v>
      </c>
      <c r="R8" s="46" t="s">
        <v>1065</v>
      </c>
      <c r="S8" s="46" t="s">
        <v>1066</v>
      </c>
      <c r="T8" s="46" t="s">
        <v>1071</v>
      </c>
      <c r="U8" t="str">
        <f>IFERROR(+VLOOKUP(H8,'DISPOSITIVOS ACTIVOS'!B:D,3,FALSE),"IPHONE")</f>
        <v>Iphone</v>
      </c>
      <c r="V8" t="str">
        <f>IFERROR(+VLOOKUP(H8,'[1]Migracion feb25 Ver to ATT'!$B:$G,6,FALSE), "NO MIGRADO")</f>
        <v>Iphone</v>
      </c>
      <c r="W8" s="26">
        <v>15</v>
      </c>
    </row>
    <row r="9" spans="1:23" x14ac:dyDescent="0.3">
      <c r="A9" t="s">
        <v>1062</v>
      </c>
      <c r="B9" s="46" t="s">
        <v>22</v>
      </c>
      <c r="C9" s="46" t="s">
        <v>1063</v>
      </c>
      <c r="D9" s="46">
        <v>6</v>
      </c>
      <c r="E9" s="46">
        <v>2025</v>
      </c>
      <c r="F9" s="46">
        <v>9</v>
      </c>
      <c r="G9" s="50" t="s">
        <v>50</v>
      </c>
      <c r="H9" s="37" t="s">
        <v>49</v>
      </c>
      <c r="I9" s="50" t="s">
        <v>285</v>
      </c>
      <c r="J9" s="51" t="s">
        <v>30</v>
      </c>
      <c r="K9" s="51" t="s">
        <v>297</v>
      </c>
      <c r="L9" s="50" t="s">
        <v>30</v>
      </c>
      <c r="M9" s="51" t="s">
        <v>264</v>
      </c>
      <c r="N9" s="51" t="s">
        <v>30</v>
      </c>
      <c r="O9" s="50"/>
      <c r="P9" s="82">
        <v>18.75</v>
      </c>
      <c r="Q9" s="39">
        <v>60311003</v>
      </c>
      <c r="R9" s="46" t="s">
        <v>1065</v>
      </c>
      <c r="S9" s="46" t="s">
        <v>1066</v>
      </c>
      <c r="T9" s="46" t="s">
        <v>1071</v>
      </c>
      <c r="U9" t="str">
        <f>IFERROR(+VLOOKUP(H9,'DISPOSITIVOS ACTIVOS'!B:D,3,FALSE),"IPHONE")</f>
        <v>Ipad</v>
      </c>
      <c r="V9" t="str">
        <f>IFERROR(+VLOOKUP(H9,'[1]Migracion feb25 Ver to ATT'!$B:$G,6,FALSE), "NO MIGRADO")</f>
        <v>NO MIGRADO</v>
      </c>
      <c r="W9" s="26">
        <v>15</v>
      </c>
    </row>
    <row r="10" spans="1:23" x14ac:dyDescent="0.3">
      <c r="A10" t="s">
        <v>1062</v>
      </c>
      <c r="B10" s="46" t="s">
        <v>22</v>
      </c>
      <c r="C10" s="46" t="s">
        <v>1063</v>
      </c>
      <c r="D10" s="46">
        <v>6</v>
      </c>
      <c r="E10" s="46">
        <v>2025</v>
      </c>
      <c r="F10" s="46">
        <v>9</v>
      </c>
      <c r="G10" s="47" t="s">
        <v>70</v>
      </c>
      <c r="H10" s="36" t="s">
        <v>69</v>
      </c>
      <c r="I10" s="47" t="s">
        <v>291</v>
      </c>
      <c r="J10" s="47" t="s">
        <v>1068</v>
      </c>
      <c r="K10" s="48" t="s">
        <v>304</v>
      </c>
      <c r="L10" s="48" t="s">
        <v>299</v>
      </c>
      <c r="M10" s="48" t="s">
        <v>1069</v>
      </c>
      <c r="N10" s="48" t="s">
        <v>1070</v>
      </c>
      <c r="O10" s="47"/>
      <c r="P10" s="83">
        <v>46.36</v>
      </c>
      <c r="Q10" s="39">
        <v>60311005</v>
      </c>
      <c r="R10" s="46" t="s">
        <v>1065</v>
      </c>
      <c r="S10" s="46" t="s">
        <v>1066</v>
      </c>
      <c r="T10" s="46" t="s">
        <v>1071</v>
      </c>
      <c r="U10" t="str">
        <f>IFERROR(+VLOOKUP(H10,'DISPOSITIVOS ACTIVOS'!B:D,3,FALSE),"IPHONE")</f>
        <v>Iphone</v>
      </c>
      <c r="V10" t="str">
        <f>IFERROR(+VLOOKUP(H10,'[1]Migracion feb25 Ver to ATT'!$B:$G,6,FALSE), "NO MIGRADO")</f>
        <v>NO MIGRADO</v>
      </c>
      <c r="W10" s="26">
        <v>25</v>
      </c>
    </row>
    <row r="11" spans="1:23" x14ac:dyDescent="0.3">
      <c r="A11" t="s">
        <v>1062</v>
      </c>
      <c r="B11" s="46" t="s">
        <v>22</v>
      </c>
      <c r="C11" s="46" t="s">
        <v>1063</v>
      </c>
      <c r="D11" s="46">
        <v>6</v>
      </c>
      <c r="E11" s="46">
        <v>2025</v>
      </c>
      <c r="F11" s="46">
        <v>9</v>
      </c>
      <c r="G11" s="50" t="s">
        <v>301</v>
      </c>
      <c r="H11" s="37" t="s">
        <v>300</v>
      </c>
      <c r="I11" s="50" t="s">
        <v>294</v>
      </c>
      <c r="J11" s="50" t="s">
        <v>30</v>
      </c>
      <c r="K11" s="51" t="s">
        <v>527</v>
      </c>
      <c r="L11" s="50" t="s">
        <v>30</v>
      </c>
      <c r="M11" s="51" t="s">
        <v>523</v>
      </c>
      <c r="N11" s="50" t="s">
        <v>1074</v>
      </c>
      <c r="O11" s="50"/>
      <c r="P11" s="82">
        <v>56.91</v>
      </c>
      <c r="Q11" s="39">
        <v>60311005</v>
      </c>
      <c r="R11" s="46" t="s">
        <v>1065</v>
      </c>
      <c r="S11" s="46" t="s">
        <v>1066</v>
      </c>
      <c r="T11" s="46" t="s">
        <v>1067</v>
      </c>
      <c r="U11">
        <f>IFERROR(+VLOOKUP(H11,'DISPOSITIVOS ACTIVOS'!B:D,3,FALSE),"IPHONE")</f>
        <v>0</v>
      </c>
      <c r="V11" t="str">
        <f>IFERROR(+VLOOKUP(H11,'[1]Migracion feb25 Ver to ATT'!$B:$G,6,FALSE), "NO MIGRADO")</f>
        <v>NO MIGRADO</v>
      </c>
      <c r="W11" s="26">
        <v>25</v>
      </c>
    </row>
    <row r="12" spans="1:23" x14ac:dyDescent="0.3">
      <c r="A12" t="s">
        <v>1062</v>
      </c>
      <c r="B12" s="46" t="s">
        <v>22</v>
      </c>
      <c r="C12" s="46" t="s">
        <v>1063</v>
      </c>
      <c r="D12" s="46">
        <v>6</v>
      </c>
      <c r="E12" s="46">
        <v>2025</v>
      </c>
      <c r="F12" s="46">
        <v>9</v>
      </c>
      <c r="G12" s="84" t="s">
        <v>1075</v>
      </c>
      <c r="H12" s="85" t="s">
        <v>883</v>
      </c>
      <c r="I12" s="47" t="s">
        <v>295</v>
      </c>
      <c r="J12" s="47" t="s">
        <v>1076</v>
      </c>
      <c r="K12" s="48" t="s">
        <v>527</v>
      </c>
      <c r="L12" s="47" t="s">
        <v>30</v>
      </c>
      <c r="M12" s="48" t="s">
        <v>1077</v>
      </c>
      <c r="N12" s="48" t="s">
        <v>1078</v>
      </c>
      <c r="O12" s="47"/>
      <c r="P12" s="83">
        <v>79.17</v>
      </c>
      <c r="Q12" s="86">
        <v>60311005</v>
      </c>
      <c r="R12" s="46" t="s">
        <v>1079</v>
      </c>
      <c r="S12" s="46" t="s">
        <v>1080</v>
      </c>
      <c r="T12" s="46" t="s">
        <v>1081</v>
      </c>
      <c r="U12" t="str">
        <f>IFERROR(+VLOOKUP(H12,'DISPOSITIVOS ACTIVOS'!B:D,3,FALSE),"IPHONE")</f>
        <v>Samsung</v>
      </c>
      <c r="V12" t="str">
        <f>IFERROR(+VLOOKUP(H12,'[1]Migracion feb25 Ver to ATT'!$B:$G,6,FALSE), "NO MIGRADO")</f>
        <v>NO MIGRADO</v>
      </c>
      <c r="W12" s="26">
        <v>25</v>
      </c>
    </row>
    <row r="13" spans="1:23" x14ac:dyDescent="0.3">
      <c r="A13" t="s">
        <v>1062</v>
      </c>
      <c r="B13" s="46" t="s">
        <v>22</v>
      </c>
      <c r="C13" s="46" t="s">
        <v>1063</v>
      </c>
      <c r="D13" s="46">
        <v>6</v>
      </c>
      <c r="E13" s="46">
        <v>2025</v>
      </c>
      <c r="F13" s="46">
        <v>9</v>
      </c>
      <c r="G13" s="87" t="s">
        <v>1082</v>
      </c>
      <c r="H13" s="88" t="s">
        <v>878</v>
      </c>
      <c r="I13" s="50" t="s">
        <v>298</v>
      </c>
      <c r="J13" s="50" t="s">
        <v>1076</v>
      </c>
      <c r="K13" s="51" t="s">
        <v>527</v>
      </c>
      <c r="L13" s="50" t="s">
        <v>30</v>
      </c>
      <c r="M13" s="51" t="s">
        <v>1077</v>
      </c>
      <c r="N13" s="51" t="s">
        <v>1078</v>
      </c>
      <c r="O13" s="50"/>
      <c r="P13" s="82">
        <v>79.17</v>
      </c>
      <c r="Q13" s="86">
        <v>60311005</v>
      </c>
      <c r="R13" s="46" t="s">
        <v>1079</v>
      </c>
      <c r="S13" s="46" t="s">
        <v>1080</v>
      </c>
      <c r="T13" s="46" t="s">
        <v>1081</v>
      </c>
      <c r="U13" t="str">
        <f>IFERROR(+VLOOKUP(H13,'DISPOSITIVOS ACTIVOS'!B:D,3,FALSE),"IPHONE")</f>
        <v>Samsung</v>
      </c>
      <c r="V13" t="str">
        <f>IFERROR(+VLOOKUP(H13,'[1]Migracion feb25 Ver to ATT'!$B:$G,6,FALSE), "NO MIGRADO")</f>
        <v>NO MIGRADO</v>
      </c>
      <c r="W13" s="26">
        <v>25</v>
      </c>
    </row>
    <row r="14" spans="1:23" x14ac:dyDescent="0.3">
      <c r="A14" t="s">
        <v>1062</v>
      </c>
      <c r="B14" s="46" t="s">
        <v>22</v>
      </c>
      <c r="C14" s="46" t="s">
        <v>1063</v>
      </c>
      <c r="D14" s="46">
        <v>6</v>
      </c>
      <c r="E14" s="46">
        <v>2025</v>
      </c>
      <c r="F14" s="46">
        <v>9</v>
      </c>
      <c r="G14" s="47" t="s">
        <v>72</v>
      </c>
      <c r="H14" s="36" t="s">
        <v>71</v>
      </c>
      <c r="I14" s="47" t="s">
        <v>302</v>
      </c>
      <c r="J14" s="47" t="s">
        <v>1068</v>
      </c>
      <c r="K14" s="48" t="s">
        <v>304</v>
      </c>
      <c r="L14" s="47" t="s">
        <v>288</v>
      </c>
      <c r="M14" s="48" t="s">
        <v>1069</v>
      </c>
      <c r="N14" s="48" t="s">
        <v>1083</v>
      </c>
      <c r="O14" s="47"/>
      <c r="P14" s="83">
        <v>41.74</v>
      </c>
      <c r="Q14" s="39">
        <v>60311005</v>
      </c>
      <c r="R14" s="46" t="s">
        <v>1065</v>
      </c>
      <c r="S14" s="46" t="s">
        <v>1066</v>
      </c>
      <c r="T14" s="46" t="s">
        <v>1084</v>
      </c>
      <c r="U14" t="str">
        <f>IFERROR(+VLOOKUP(H14,'DISPOSITIVOS ACTIVOS'!B:D,3,FALSE),"IPHONE")</f>
        <v>Iphone</v>
      </c>
      <c r="V14" t="str">
        <f>IFERROR(+VLOOKUP(H14,'[1]Migracion feb25 Ver to ATT'!$B:$G,6,FALSE), "NO MIGRADO")</f>
        <v>NO MIGRADO</v>
      </c>
      <c r="W14" s="26">
        <v>25</v>
      </c>
    </row>
    <row r="15" spans="1:23" x14ac:dyDescent="0.3">
      <c r="A15" t="s">
        <v>1062</v>
      </c>
      <c r="B15" s="46" t="s">
        <v>22</v>
      </c>
      <c r="C15" s="46" t="s">
        <v>1063</v>
      </c>
      <c r="D15" s="46">
        <v>6</v>
      </c>
      <c r="E15" s="46">
        <v>2025</v>
      </c>
      <c r="F15" s="46">
        <v>9</v>
      </c>
      <c r="G15" s="50" t="s">
        <v>74</v>
      </c>
      <c r="H15" s="37" t="s">
        <v>73</v>
      </c>
      <c r="I15" s="50" t="s">
        <v>307</v>
      </c>
      <c r="J15" s="51" t="s">
        <v>1068</v>
      </c>
      <c r="K15" s="51" t="s">
        <v>527</v>
      </c>
      <c r="L15" s="50" t="s">
        <v>30</v>
      </c>
      <c r="M15" s="51" t="s">
        <v>1072</v>
      </c>
      <c r="N15" s="51" t="s">
        <v>1073</v>
      </c>
      <c r="O15" s="50"/>
      <c r="P15" s="82">
        <v>60.24</v>
      </c>
      <c r="Q15" s="39">
        <v>60311005</v>
      </c>
      <c r="R15" s="46" t="s">
        <v>1065</v>
      </c>
      <c r="S15" s="46" t="s">
        <v>1066</v>
      </c>
      <c r="T15" s="46" t="s">
        <v>1084</v>
      </c>
      <c r="U15" t="str">
        <f>IFERROR(+VLOOKUP(H15,'DISPOSITIVOS ACTIVOS'!B:D,3,FALSE),"IPHONE")</f>
        <v>Iphone</v>
      </c>
      <c r="V15" t="str">
        <f>IFERROR(+VLOOKUP(H15,'[1]Migracion feb25 Ver to ATT'!$B:$G,6,FALSE), "NO MIGRADO")</f>
        <v>Iphone</v>
      </c>
      <c r="W15" s="26">
        <v>15</v>
      </c>
    </row>
    <row r="16" spans="1:23" x14ac:dyDescent="0.3">
      <c r="A16" t="s">
        <v>1062</v>
      </c>
      <c r="B16" s="46" t="s">
        <v>22</v>
      </c>
      <c r="C16" s="46" t="s">
        <v>1063</v>
      </c>
      <c r="D16" s="46">
        <v>6</v>
      </c>
      <c r="E16" s="46">
        <v>2025</v>
      </c>
      <c r="F16" s="46">
        <v>9</v>
      </c>
      <c r="G16" s="47" t="s">
        <v>76</v>
      </c>
      <c r="H16" s="36" t="s">
        <v>75</v>
      </c>
      <c r="I16" s="47" t="s">
        <v>309</v>
      </c>
      <c r="J16" s="47" t="s">
        <v>1068</v>
      </c>
      <c r="K16" s="48" t="s">
        <v>527</v>
      </c>
      <c r="L16" s="48" t="s">
        <v>30</v>
      </c>
      <c r="M16" s="48" t="s">
        <v>1072</v>
      </c>
      <c r="N16" s="48" t="s">
        <v>1073</v>
      </c>
      <c r="O16" s="47"/>
      <c r="P16" s="83">
        <v>60.24</v>
      </c>
      <c r="Q16" s="39">
        <v>60311005</v>
      </c>
      <c r="R16" s="46" t="s">
        <v>1065</v>
      </c>
      <c r="S16" s="46" t="s">
        <v>1066</v>
      </c>
      <c r="T16" s="46" t="s">
        <v>1085</v>
      </c>
      <c r="U16" t="str">
        <f>IFERROR(+VLOOKUP(H16,'DISPOSITIVOS ACTIVOS'!B:D,3,FALSE),"IPHONE")</f>
        <v>Iphone</v>
      </c>
      <c r="V16" t="str">
        <f>IFERROR(+VLOOKUP(H16,'[1]Migracion feb25 Ver to ATT'!$B:$G,6,FALSE), "NO MIGRADO")</f>
        <v>Iphone</v>
      </c>
      <c r="W16" s="26">
        <v>15</v>
      </c>
    </row>
    <row r="17" spans="1:23" x14ac:dyDescent="0.3">
      <c r="A17" t="s">
        <v>1062</v>
      </c>
      <c r="B17" s="46" t="s">
        <v>22</v>
      </c>
      <c r="C17" s="46" t="s">
        <v>1063</v>
      </c>
      <c r="D17" s="46">
        <v>6</v>
      </c>
      <c r="E17" s="46">
        <v>2025</v>
      </c>
      <c r="F17" s="46">
        <v>9</v>
      </c>
      <c r="G17" s="50" t="s">
        <v>78</v>
      </c>
      <c r="H17" s="37" t="s">
        <v>77</v>
      </c>
      <c r="I17" s="50" t="s">
        <v>313</v>
      </c>
      <c r="J17" s="51" t="s">
        <v>1068</v>
      </c>
      <c r="K17" s="51" t="s">
        <v>527</v>
      </c>
      <c r="L17" s="50" t="s">
        <v>30</v>
      </c>
      <c r="M17" s="51" t="s">
        <v>1072</v>
      </c>
      <c r="N17" s="51" t="s">
        <v>1073</v>
      </c>
      <c r="O17" s="50"/>
      <c r="P17" s="82">
        <v>60.24</v>
      </c>
      <c r="Q17" s="39">
        <v>60311005</v>
      </c>
      <c r="R17" s="46" t="s">
        <v>1065</v>
      </c>
      <c r="S17" s="46" t="s">
        <v>1066</v>
      </c>
      <c r="T17" s="46" t="s">
        <v>1071</v>
      </c>
      <c r="U17" t="str">
        <f>IFERROR(+VLOOKUP(H17,'DISPOSITIVOS ACTIVOS'!B:D,3,FALSE),"IPHONE")</f>
        <v>Iphone</v>
      </c>
      <c r="V17" t="str">
        <f>IFERROR(+VLOOKUP(H17,'[1]Migracion feb25 Ver to ATT'!$B:$G,6,FALSE), "NO MIGRADO")</f>
        <v>Iphone</v>
      </c>
      <c r="W17" s="26">
        <v>15</v>
      </c>
    </row>
    <row r="18" spans="1:23" x14ac:dyDescent="0.3">
      <c r="A18" t="s">
        <v>1062</v>
      </c>
      <c r="B18" s="46" t="s">
        <v>22</v>
      </c>
      <c r="C18" s="46" t="s">
        <v>1063</v>
      </c>
      <c r="D18" s="46">
        <v>6</v>
      </c>
      <c r="E18" s="46">
        <v>2025</v>
      </c>
      <c r="F18" s="46">
        <v>9</v>
      </c>
      <c r="G18" s="47" t="s">
        <v>80</v>
      </c>
      <c r="H18" s="36" t="s">
        <v>79</v>
      </c>
      <c r="I18" s="47" t="s">
        <v>314</v>
      </c>
      <c r="J18" s="47" t="s">
        <v>1068</v>
      </c>
      <c r="K18" s="48" t="s">
        <v>304</v>
      </c>
      <c r="L18" s="48" t="s">
        <v>30</v>
      </c>
      <c r="M18" s="48" t="s">
        <v>1069</v>
      </c>
      <c r="N18" s="48" t="s">
        <v>1083</v>
      </c>
      <c r="O18" s="47"/>
      <c r="P18" s="83">
        <v>36.74</v>
      </c>
      <c r="Q18" s="39">
        <v>60311005</v>
      </c>
      <c r="R18" s="46" t="s">
        <v>1065</v>
      </c>
      <c r="S18" s="46" t="s">
        <v>1066</v>
      </c>
      <c r="T18" s="46" t="s">
        <v>1085</v>
      </c>
      <c r="U18" t="str">
        <f>IFERROR(+VLOOKUP(H18,'DISPOSITIVOS ACTIVOS'!B:D,3,FALSE),"IPHONE")</f>
        <v>Iphone</v>
      </c>
      <c r="V18" t="str">
        <f>IFERROR(+VLOOKUP(H18,'[1]Migracion feb25 Ver to ATT'!$B:$G,6,FALSE), "NO MIGRADO")</f>
        <v>NO MIGRADO</v>
      </c>
      <c r="W18" s="26">
        <v>25</v>
      </c>
    </row>
    <row r="19" spans="1:23" x14ac:dyDescent="0.3">
      <c r="A19" t="s">
        <v>1062</v>
      </c>
      <c r="B19" s="46" t="s">
        <v>22</v>
      </c>
      <c r="C19" s="46" t="s">
        <v>1063</v>
      </c>
      <c r="D19" s="46">
        <v>6</v>
      </c>
      <c r="E19" s="46">
        <v>2025</v>
      </c>
      <c r="F19" s="46">
        <v>9</v>
      </c>
      <c r="G19" s="87" t="s">
        <v>82</v>
      </c>
      <c r="H19" s="88" t="s">
        <v>81</v>
      </c>
      <c r="I19" s="50" t="s">
        <v>315</v>
      </c>
      <c r="J19" s="50" t="s">
        <v>30</v>
      </c>
      <c r="K19" s="51" t="s">
        <v>30</v>
      </c>
      <c r="L19" s="50" t="s">
        <v>318</v>
      </c>
      <c r="M19" s="51" t="s">
        <v>30</v>
      </c>
      <c r="N19" s="50" t="s">
        <v>30</v>
      </c>
      <c r="O19" s="50"/>
      <c r="P19" s="82">
        <v>5.99</v>
      </c>
      <c r="Q19" s="86">
        <v>60311005</v>
      </c>
      <c r="R19" s="46" t="s">
        <v>1065</v>
      </c>
      <c r="S19" s="46" t="s">
        <v>1066</v>
      </c>
      <c r="T19" s="46" t="s">
        <v>1067</v>
      </c>
      <c r="U19" t="str">
        <f>IFERROR(+VLOOKUP(H19,'DISPOSITIVOS ACTIVOS'!B:D,3,FALSE),"IPHONE")</f>
        <v>IPHONE</v>
      </c>
      <c r="V19" t="str">
        <f>IFERROR(+VLOOKUP(H19,'[1]Migracion feb25 Ver to ATT'!$B:$G,6,FALSE), "NO MIGRADO")</f>
        <v>NO MIGRADO</v>
      </c>
      <c r="W19" s="26">
        <v>25</v>
      </c>
    </row>
    <row r="20" spans="1:23" x14ac:dyDescent="0.3">
      <c r="A20" t="s">
        <v>1062</v>
      </c>
      <c r="B20" s="46" t="s">
        <v>22</v>
      </c>
      <c r="C20" s="46" t="s">
        <v>1063</v>
      </c>
      <c r="D20" s="46">
        <v>6</v>
      </c>
      <c r="E20" s="46">
        <v>2025</v>
      </c>
      <c r="F20" s="46">
        <v>9</v>
      </c>
      <c r="G20" s="84" t="s">
        <v>84</v>
      </c>
      <c r="H20" s="85" t="s">
        <v>83</v>
      </c>
      <c r="I20" s="47" t="s">
        <v>316</v>
      </c>
      <c r="J20" s="47" t="s">
        <v>467</v>
      </c>
      <c r="K20" s="48" t="s">
        <v>304</v>
      </c>
      <c r="L20" s="47" t="s">
        <v>30</v>
      </c>
      <c r="M20" s="48" t="s">
        <v>1086</v>
      </c>
      <c r="N20" s="48" t="s">
        <v>1087</v>
      </c>
      <c r="O20" s="47"/>
      <c r="P20" s="83">
        <v>42.68</v>
      </c>
      <c r="Q20" s="86">
        <v>60311005</v>
      </c>
      <c r="R20" s="46" t="s">
        <v>1065</v>
      </c>
      <c r="S20" s="46" t="s">
        <v>1066</v>
      </c>
      <c r="T20" s="46" t="s">
        <v>1067</v>
      </c>
      <c r="U20" t="str">
        <f>IFERROR(+VLOOKUP(H20,'DISPOSITIVOS ACTIVOS'!B:D,3,FALSE),"IPHONE")</f>
        <v>IPHONE</v>
      </c>
      <c r="V20" t="str">
        <f>IFERROR(+VLOOKUP(H20,'[1]Migracion feb25 Ver to ATT'!$B:$G,6,FALSE), "NO MIGRADO")</f>
        <v>NO MIGRADO</v>
      </c>
      <c r="W20" s="26">
        <v>25</v>
      </c>
    </row>
    <row r="21" spans="1:23" x14ac:dyDescent="0.3">
      <c r="A21" t="s">
        <v>1062</v>
      </c>
      <c r="B21" s="46" t="s">
        <v>22</v>
      </c>
      <c r="C21" s="46" t="s">
        <v>1063</v>
      </c>
      <c r="D21" s="46">
        <v>6</v>
      </c>
      <c r="E21" s="46">
        <v>2025</v>
      </c>
      <c r="F21" s="46">
        <v>9</v>
      </c>
      <c r="G21" s="50" t="s">
        <v>86</v>
      </c>
      <c r="H21" s="37" t="s">
        <v>85</v>
      </c>
      <c r="I21" s="50" t="s">
        <v>321</v>
      </c>
      <c r="J21" s="50" t="s">
        <v>1068</v>
      </c>
      <c r="K21" s="51" t="s">
        <v>304</v>
      </c>
      <c r="L21" s="50" t="s">
        <v>30</v>
      </c>
      <c r="M21" s="51" t="s">
        <v>1069</v>
      </c>
      <c r="N21" s="51" t="s">
        <v>1088</v>
      </c>
      <c r="O21" s="50"/>
      <c r="P21" s="82">
        <v>31.68</v>
      </c>
      <c r="Q21" s="39">
        <v>10145003</v>
      </c>
      <c r="R21" s="46"/>
      <c r="S21" s="46"/>
      <c r="T21" s="46"/>
      <c r="U21" t="str">
        <f>IFERROR(+VLOOKUP(H21,'DISPOSITIVOS ACTIVOS'!B:D,3,FALSE),"IPHONE")</f>
        <v>no aplica</v>
      </c>
      <c r="V21" t="str">
        <f>IFERROR(+VLOOKUP(H21,'[1]Migracion feb25 Ver to ATT'!$B:$G,6,FALSE), "NO MIGRADO")</f>
        <v>NO MIGRADO</v>
      </c>
      <c r="W21" s="26">
        <v>25</v>
      </c>
    </row>
    <row r="22" spans="1:23" x14ac:dyDescent="0.3">
      <c r="A22" t="s">
        <v>1062</v>
      </c>
      <c r="B22" s="46" t="s">
        <v>22</v>
      </c>
      <c r="C22" s="46" t="s">
        <v>1063</v>
      </c>
      <c r="D22" s="46">
        <v>6</v>
      </c>
      <c r="E22" s="46">
        <v>2025</v>
      </c>
      <c r="F22" s="46">
        <v>9</v>
      </c>
      <c r="G22" s="47" t="s">
        <v>88</v>
      </c>
      <c r="H22" s="36" t="s">
        <v>87</v>
      </c>
      <c r="I22" s="47" t="s">
        <v>325</v>
      </c>
      <c r="J22" s="47" t="s">
        <v>1068</v>
      </c>
      <c r="K22" s="48" t="s">
        <v>304</v>
      </c>
      <c r="L22" s="47" t="s">
        <v>30</v>
      </c>
      <c r="M22" s="48" t="s">
        <v>1069</v>
      </c>
      <c r="N22" s="48" t="s">
        <v>1088</v>
      </c>
      <c r="O22" s="47"/>
      <c r="P22" s="83">
        <v>31.68</v>
      </c>
      <c r="Q22" s="39">
        <v>10145003</v>
      </c>
      <c r="R22" s="46"/>
      <c r="S22" s="46"/>
      <c r="T22" s="46"/>
      <c r="U22" t="str">
        <f>IFERROR(+VLOOKUP(H22,'DISPOSITIVOS ACTIVOS'!B:D,3,FALSE),"IPHONE")</f>
        <v>no aplica</v>
      </c>
      <c r="V22" t="str">
        <f>IFERROR(+VLOOKUP(H22,'[1]Migracion feb25 Ver to ATT'!$B:$G,6,FALSE), "NO MIGRADO")</f>
        <v>NO MIGRADO</v>
      </c>
      <c r="W22" s="26">
        <v>25</v>
      </c>
    </row>
    <row r="23" spans="1:23" x14ac:dyDescent="0.3">
      <c r="A23" t="s">
        <v>1062</v>
      </c>
      <c r="B23" s="46" t="s">
        <v>22</v>
      </c>
      <c r="C23" s="46" t="s">
        <v>1063</v>
      </c>
      <c r="D23" s="46">
        <v>6</v>
      </c>
      <c r="E23" s="46">
        <v>2025</v>
      </c>
      <c r="F23" s="46">
        <v>9</v>
      </c>
      <c r="G23" s="87" t="s">
        <v>90</v>
      </c>
      <c r="H23" s="37" t="s">
        <v>89</v>
      </c>
      <c r="I23" s="50" t="s">
        <v>327</v>
      </c>
      <c r="J23" s="51" t="s">
        <v>30</v>
      </c>
      <c r="K23" s="51" t="s">
        <v>30</v>
      </c>
      <c r="L23" s="50" t="s">
        <v>30</v>
      </c>
      <c r="M23" s="51" t="s">
        <v>30</v>
      </c>
      <c r="N23" s="51" t="s">
        <v>30</v>
      </c>
      <c r="O23" s="50"/>
      <c r="P23" s="82">
        <v>0</v>
      </c>
      <c r="Q23" s="86">
        <v>60311005</v>
      </c>
      <c r="R23" s="89" t="s">
        <v>1079</v>
      </c>
      <c r="S23" s="90" t="s">
        <v>1089</v>
      </c>
      <c r="T23" s="89" t="s">
        <v>1090</v>
      </c>
      <c r="U23" t="str">
        <f>IFERROR(+VLOOKUP(H23,'DISPOSITIVOS ACTIVOS'!B:D,3,FALSE),"IPHONE")</f>
        <v>IPHONE</v>
      </c>
      <c r="V23" t="str">
        <f>IFERROR(+VLOOKUP(H23,'[1]Migracion feb25 Ver to ATT'!$B:$G,6,FALSE), "NO MIGRADO")</f>
        <v>NO MIGRADO</v>
      </c>
      <c r="W23" s="26">
        <v>25</v>
      </c>
    </row>
    <row r="24" spans="1:23" x14ac:dyDescent="0.3">
      <c r="A24" t="s">
        <v>1062</v>
      </c>
      <c r="B24" s="46" t="s">
        <v>22</v>
      </c>
      <c r="C24" s="46" t="s">
        <v>1063</v>
      </c>
      <c r="D24" s="46">
        <v>6</v>
      </c>
      <c r="E24" s="46">
        <v>2025</v>
      </c>
      <c r="F24" s="46">
        <v>9</v>
      </c>
      <c r="G24" s="47" t="s">
        <v>92</v>
      </c>
      <c r="H24" s="36" t="s">
        <v>91</v>
      </c>
      <c r="I24" s="47" t="s">
        <v>328</v>
      </c>
      <c r="J24" s="47" t="s">
        <v>30</v>
      </c>
      <c r="K24" s="48" t="s">
        <v>297</v>
      </c>
      <c r="L24" s="48" t="s">
        <v>30</v>
      </c>
      <c r="M24" s="48" t="s">
        <v>264</v>
      </c>
      <c r="N24" s="48" t="s">
        <v>30</v>
      </c>
      <c r="O24" s="47"/>
      <c r="P24" s="83">
        <v>18.75</v>
      </c>
      <c r="Q24" s="39">
        <v>60311003</v>
      </c>
      <c r="R24" s="46" t="s">
        <v>1065</v>
      </c>
      <c r="S24" s="46" t="s">
        <v>1066</v>
      </c>
      <c r="T24" s="46" t="s">
        <v>1084</v>
      </c>
      <c r="U24" t="str">
        <f>IFERROR(+VLOOKUP(H24,'DISPOSITIVOS ACTIVOS'!B:D,3,FALSE),"IPHONE")</f>
        <v>Ipad</v>
      </c>
      <c r="V24" t="str">
        <f>IFERROR(+VLOOKUP(H24,'[1]Migracion feb25 Ver to ATT'!$B:$G,6,FALSE), "NO MIGRADO")</f>
        <v>NO MIGRADO</v>
      </c>
      <c r="W24" s="26">
        <v>15</v>
      </c>
    </row>
    <row r="25" spans="1:23" x14ac:dyDescent="0.3">
      <c r="A25" t="s">
        <v>1062</v>
      </c>
      <c r="B25" s="46" t="s">
        <v>22</v>
      </c>
      <c r="C25" s="46" t="s">
        <v>1063</v>
      </c>
      <c r="D25" s="46">
        <v>6</v>
      </c>
      <c r="E25" s="46">
        <v>2025</v>
      </c>
      <c r="F25" s="46">
        <v>9</v>
      </c>
      <c r="G25" s="50" t="s">
        <v>94</v>
      </c>
      <c r="H25" s="37" t="s">
        <v>93</v>
      </c>
      <c r="I25" s="50" t="s">
        <v>331</v>
      </c>
      <c r="J25" s="51" t="s">
        <v>1068</v>
      </c>
      <c r="K25" s="51" t="s">
        <v>527</v>
      </c>
      <c r="L25" s="50" t="s">
        <v>30</v>
      </c>
      <c r="M25" s="51" t="s">
        <v>1072</v>
      </c>
      <c r="N25" s="51" t="s">
        <v>1073</v>
      </c>
      <c r="O25" s="50"/>
      <c r="P25" s="82">
        <v>60.24</v>
      </c>
      <c r="Q25" s="39">
        <v>60311005</v>
      </c>
      <c r="R25" s="46" t="s">
        <v>1065</v>
      </c>
      <c r="S25" s="46" t="s">
        <v>1066</v>
      </c>
      <c r="T25" s="46" t="s">
        <v>1084</v>
      </c>
      <c r="U25" t="str">
        <f>IFERROR(+VLOOKUP(H25,'DISPOSITIVOS ACTIVOS'!B:D,3,FALSE),"IPHONE")</f>
        <v>Iphone</v>
      </c>
      <c r="V25" t="str">
        <f>IFERROR(+VLOOKUP(H25,'[1]Migracion feb25 Ver to ATT'!$B:$G,6,FALSE), "NO MIGRADO")</f>
        <v>Iphone</v>
      </c>
      <c r="W25" s="26">
        <v>15</v>
      </c>
    </row>
    <row r="26" spans="1:23" x14ac:dyDescent="0.3">
      <c r="A26" t="s">
        <v>1062</v>
      </c>
      <c r="B26" s="46" t="s">
        <v>22</v>
      </c>
      <c r="C26" s="46" t="s">
        <v>1063</v>
      </c>
      <c r="D26" s="46">
        <v>6</v>
      </c>
      <c r="E26" s="46">
        <v>2025</v>
      </c>
      <c r="F26" s="46">
        <v>9</v>
      </c>
      <c r="G26" s="47" t="s">
        <v>96</v>
      </c>
      <c r="H26" s="36" t="s">
        <v>95</v>
      </c>
      <c r="I26" s="47" t="s">
        <v>333</v>
      </c>
      <c r="J26" s="47" t="s">
        <v>1091</v>
      </c>
      <c r="K26" s="48" t="s">
        <v>527</v>
      </c>
      <c r="L26" s="48" t="s">
        <v>30</v>
      </c>
      <c r="M26" s="48" t="s">
        <v>1092</v>
      </c>
      <c r="N26" s="48" t="s">
        <v>1093</v>
      </c>
      <c r="O26" s="47"/>
      <c r="P26" s="83">
        <v>50.66</v>
      </c>
      <c r="Q26" s="39">
        <v>60311005</v>
      </c>
      <c r="R26" s="46" t="s">
        <v>1065</v>
      </c>
      <c r="S26" s="46" t="s">
        <v>1066</v>
      </c>
      <c r="T26" s="46" t="s">
        <v>1067</v>
      </c>
      <c r="U26">
        <f>IFERROR(+VLOOKUP(H26,'DISPOSITIVOS ACTIVOS'!B:D,3,FALSE),"IPHONE")</f>
        <v>0</v>
      </c>
      <c r="V26" t="str">
        <f>IFERROR(+VLOOKUP(H26,'[1]Migracion feb25 Ver to ATT'!$B:$G,6,FALSE), "NO MIGRADO")</f>
        <v xml:space="preserve">Galaxy </v>
      </c>
      <c r="W26" s="26">
        <v>15</v>
      </c>
    </row>
    <row r="27" spans="1:23" x14ac:dyDescent="0.3">
      <c r="A27" t="s">
        <v>1062</v>
      </c>
      <c r="B27" s="46" t="s">
        <v>22</v>
      </c>
      <c r="C27" s="46" t="s">
        <v>1063</v>
      </c>
      <c r="D27" s="46">
        <v>6</v>
      </c>
      <c r="E27" s="46">
        <v>2025</v>
      </c>
      <c r="F27" s="46">
        <v>9</v>
      </c>
      <c r="G27" s="50" t="s">
        <v>98</v>
      </c>
      <c r="H27" s="37" t="s">
        <v>97</v>
      </c>
      <c r="I27" s="50" t="s">
        <v>334</v>
      </c>
      <c r="J27" s="50" t="s">
        <v>1094</v>
      </c>
      <c r="K27" s="51" t="s">
        <v>527</v>
      </c>
      <c r="L27" s="50" t="s">
        <v>30</v>
      </c>
      <c r="M27" s="51" t="s">
        <v>1095</v>
      </c>
      <c r="N27" s="50" t="s">
        <v>1096</v>
      </c>
      <c r="O27" s="50"/>
      <c r="P27" s="82">
        <v>58.9</v>
      </c>
      <c r="Q27" s="39">
        <v>60311005</v>
      </c>
      <c r="R27" s="46" t="s">
        <v>1079</v>
      </c>
      <c r="S27" s="46" t="s">
        <v>1080</v>
      </c>
      <c r="T27" s="46" t="s">
        <v>1097</v>
      </c>
      <c r="U27" t="str">
        <f>IFERROR(+VLOOKUP(H27,'DISPOSITIVOS ACTIVOS'!B:D,3,FALSE),"IPHONE")</f>
        <v xml:space="preserve">Galaxy </v>
      </c>
      <c r="V27" t="str">
        <f>IFERROR(+VLOOKUP(H27,'[1]Migracion feb25 Ver to ATT'!$B:$G,6,FALSE), "NO MIGRADO")</f>
        <v xml:space="preserve">Galaxy </v>
      </c>
      <c r="W27" s="26">
        <v>15</v>
      </c>
    </row>
    <row r="28" spans="1:23" x14ac:dyDescent="0.3">
      <c r="A28" t="s">
        <v>1062</v>
      </c>
      <c r="B28" s="46" t="s">
        <v>22</v>
      </c>
      <c r="C28" s="46" t="s">
        <v>1063</v>
      </c>
      <c r="D28" s="46">
        <v>6</v>
      </c>
      <c r="E28" s="46">
        <v>2025</v>
      </c>
      <c r="F28" s="46">
        <v>9</v>
      </c>
      <c r="G28" s="47" t="s">
        <v>100</v>
      </c>
      <c r="H28" s="36" t="s">
        <v>99</v>
      </c>
      <c r="I28" s="47" t="s">
        <v>338</v>
      </c>
      <c r="J28" s="47" t="s">
        <v>1068</v>
      </c>
      <c r="K28" s="48" t="s">
        <v>527</v>
      </c>
      <c r="L28" s="47" t="s">
        <v>30</v>
      </c>
      <c r="M28" s="48" t="s">
        <v>1072</v>
      </c>
      <c r="N28" s="48" t="s">
        <v>1073</v>
      </c>
      <c r="O28" s="47"/>
      <c r="P28" s="83">
        <v>60.24</v>
      </c>
      <c r="Q28" s="39">
        <v>60311005</v>
      </c>
      <c r="R28" s="46" t="s">
        <v>1065</v>
      </c>
      <c r="S28" s="46" t="s">
        <v>1066</v>
      </c>
      <c r="T28" s="46" t="s">
        <v>1085</v>
      </c>
      <c r="U28" t="str">
        <f>IFERROR(+VLOOKUP(H28,'DISPOSITIVOS ACTIVOS'!B:D,3,FALSE),"IPHONE")</f>
        <v>Iphone</v>
      </c>
      <c r="V28" t="str">
        <f>IFERROR(+VLOOKUP(H28,'[1]Migracion feb25 Ver to ATT'!$B:$G,6,FALSE), "NO MIGRADO")</f>
        <v>Iphone</v>
      </c>
      <c r="W28" s="26">
        <v>15</v>
      </c>
    </row>
    <row r="29" spans="1:23" x14ac:dyDescent="0.3">
      <c r="A29" t="s">
        <v>1062</v>
      </c>
      <c r="B29" s="46" t="s">
        <v>22</v>
      </c>
      <c r="C29" s="46" t="s">
        <v>1063</v>
      </c>
      <c r="D29" s="46">
        <v>6</v>
      </c>
      <c r="E29" s="46">
        <v>2025</v>
      </c>
      <c r="F29" s="46">
        <v>9</v>
      </c>
      <c r="G29" s="50" t="s">
        <v>102</v>
      </c>
      <c r="H29" s="37" t="s">
        <v>101</v>
      </c>
      <c r="I29" s="50" t="s">
        <v>341</v>
      </c>
      <c r="J29" s="50" t="s">
        <v>1068</v>
      </c>
      <c r="K29" s="51" t="s">
        <v>527</v>
      </c>
      <c r="L29" s="50" t="s">
        <v>30</v>
      </c>
      <c r="M29" s="51" t="s">
        <v>1072</v>
      </c>
      <c r="N29" s="51" t="s">
        <v>1073</v>
      </c>
      <c r="O29" s="50"/>
      <c r="P29" s="82">
        <v>60.24</v>
      </c>
      <c r="Q29" s="39">
        <v>60311005</v>
      </c>
      <c r="R29" s="46" t="s">
        <v>1065</v>
      </c>
      <c r="S29" s="46" t="s">
        <v>1066</v>
      </c>
      <c r="T29" s="46" t="s">
        <v>1085</v>
      </c>
      <c r="U29" t="str">
        <f>IFERROR(+VLOOKUP(H29,'DISPOSITIVOS ACTIVOS'!B:D,3,FALSE),"IPHONE")</f>
        <v>Iphone</v>
      </c>
      <c r="V29" t="str">
        <f>IFERROR(+VLOOKUP(H29,'[1]Migracion feb25 Ver to ATT'!$B:$G,6,FALSE), "NO MIGRADO")</f>
        <v>Iphone</v>
      </c>
      <c r="W29" s="26">
        <v>15</v>
      </c>
    </row>
    <row r="30" spans="1:23" x14ac:dyDescent="0.3">
      <c r="A30" t="s">
        <v>1062</v>
      </c>
      <c r="B30" s="46" t="s">
        <v>22</v>
      </c>
      <c r="C30" s="46" t="s">
        <v>1063</v>
      </c>
      <c r="D30" s="46">
        <v>6</v>
      </c>
      <c r="E30" s="46">
        <v>2025</v>
      </c>
      <c r="F30" s="46">
        <v>9</v>
      </c>
      <c r="G30" s="47" t="s">
        <v>104</v>
      </c>
      <c r="H30" s="36" t="s">
        <v>103</v>
      </c>
      <c r="I30" s="47" t="s">
        <v>342</v>
      </c>
      <c r="J30" s="47" t="s">
        <v>1068</v>
      </c>
      <c r="K30" s="48" t="s">
        <v>304</v>
      </c>
      <c r="L30" s="47" t="s">
        <v>288</v>
      </c>
      <c r="M30" s="48" t="s">
        <v>1098</v>
      </c>
      <c r="N30" s="48" t="s">
        <v>1099</v>
      </c>
      <c r="O30" s="47"/>
      <c r="P30" s="83">
        <v>39.71</v>
      </c>
      <c r="Q30" s="39">
        <v>60311005</v>
      </c>
      <c r="R30" s="46" t="s">
        <v>1065</v>
      </c>
      <c r="S30" s="46" t="s">
        <v>1100</v>
      </c>
      <c r="T30" s="46" t="s">
        <v>1101</v>
      </c>
      <c r="U30" t="str">
        <f>IFERROR(+VLOOKUP(H30,'DISPOSITIVOS ACTIVOS'!B:D,3,FALSE),"IPHONE")</f>
        <v>Iphone</v>
      </c>
      <c r="V30" t="str">
        <f>IFERROR(+VLOOKUP(H30,'[1]Migracion feb25 Ver to ATT'!$B:$G,6,FALSE), "NO MIGRADO")</f>
        <v>NO MIGRADO</v>
      </c>
      <c r="W30" s="26">
        <v>25</v>
      </c>
    </row>
    <row r="31" spans="1:23" x14ac:dyDescent="0.3">
      <c r="A31" t="s">
        <v>1062</v>
      </c>
      <c r="B31" s="46" t="s">
        <v>22</v>
      </c>
      <c r="C31" s="46" t="s">
        <v>1063</v>
      </c>
      <c r="D31" s="46">
        <v>6</v>
      </c>
      <c r="E31" s="46">
        <v>2025</v>
      </c>
      <c r="F31" s="46">
        <v>9</v>
      </c>
      <c r="G31" s="50" t="s">
        <v>106</v>
      </c>
      <c r="H31" s="37" t="s">
        <v>105</v>
      </c>
      <c r="I31" s="50" t="s">
        <v>343</v>
      </c>
      <c r="J31" s="51" t="s">
        <v>1068</v>
      </c>
      <c r="K31" s="51" t="s">
        <v>527</v>
      </c>
      <c r="L31" s="50" t="s">
        <v>30</v>
      </c>
      <c r="M31" s="51" t="s">
        <v>1072</v>
      </c>
      <c r="N31" s="51" t="s">
        <v>1073</v>
      </c>
      <c r="O31" s="50"/>
      <c r="P31" s="82">
        <v>60.24</v>
      </c>
      <c r="Q31" s="39">
        <v>60311005</v>
      </c>
      <c r="R31" s="46" t="s">
        <v>1065</v>
      </c>
      <c r="S31" s="46" t="s">
        <v>1066</v>
      </c>
      <c r="T31" s="46" t="s">
        <v>1084</v>
      </c>
      <c r="U31" t="str">
        <f>IFERROR(+VLOOKUP(H31,'DISPOSITIVOS ACTIVOS'!B:D,3,FALSE),"IPHONE")</f>
        <v>Iphone</v>
      </c>
      <c r="V31" t="str">
        <f>IFERROR(+VLOOKUP(H31,'[1]Migracion feb25 Ver to ATT'!$B:$G,6,FALSE), "NO MIGRADO")</f>
        <v>Iphone</v>
      </c>
      <c r="W31" s="26">
        <v>15</v>
      </c>
    </row>
    <row r="32" spans="1:23" x14ac:dyDescent="0.3">
      <c r="A32" t="s">
        <v>1062</v>
      </c>
      <c r="B32" s="46" t="s">
        <v>22</v>
      </c>
      <c r="C32" s="46" t="s">
        <v>1063</v>
      </c>
      <c r="D32" s="46">
        <v>6</v>
      </c>
      <c r="E32" s="46">
        <v>2025</v>
      </c>
      <c r="F32" s="46">
        <v>9</v>
      </c>
      <c r="G32" s="47" t="s">
        <v>108</v>
      </c>
      <c r="H32" s="36" t="s">
        <v>107</v>
      </c>
      <c r="I32" s="47" t="s">
        <v>346</v>
      </c>
      <c r="J32" s="47" t="s">
        <v>1068</v>
      </c>
      <c r="K32" s="48" t="s">
        <v>527</v>
      </c>
      <c r="L32" s="48" t="s">
        <v>30</v>
      </c>
      <c r="M32" s="48" t="s">
        <v>1072</v>
      </c>
      <c r="N32" s="48" t="s">
        <v>1073</v>
      </c>
      <c r="O32" s="47"/>
      <c r="P32" s="83">
        <v>60.24</v>
      </c>
      <c r="Q32" s="39">
        <v>60311005</v>
      </c>
      <c r="R32" s="46" t="s">
        <v>1065</v>
      </c>
      <c r="S32" s="46" t="s">
        <v>1066</v>
      </c>
      <c r="T32" s="46" t="s">
        <v>1067</v>
      </c>
      <c r="U32" t="str">
        <f>IFERROR(+VLOOKUP(H32,'DISPOSITIVOS ACTIVOS'!B:D,3,FALSE),"IPHONE")</f>
        <v>Iphone</v>
      </c>
      <c r="V32" t="str">
        <f>IFERROR(+VLOOKUP(H32,'[1]Migracion feb25 Ver to ATT'!$B:$G,6,FALSE), "NO MIGRADO")</f>
        <v>Iphone</v>
      </c>
      <c r="W32" s="26">
        <v>15</v>
      </c>
    </row>
    <row r="33" spans="1:23" x14ac:dyDescent="0.3">
      <c r="A33" t="s">
        <v>1062</v>
      </c>
      <c r="B33" s="46" t="s">
        <v>22</v>
      </c>
      <c r="C33" s="46" t="s">
        <v>1063</v>
      </c>
      <c r="D33" s="46">
        <v>6</v>
      </c>
      <c r="E33" s="46">
        <v>2025</v>
      </c>
      <c r="F33" s="46">
        <v>9</v>
      </c>
      <c r="G33" s="50" t="s">
        <v>110</v>
      </c>
      <c r="H33" s="37" t="s">
        <v>109</v>
      </c>
      <c r="I33" s="50" t="s">
        <v>347</v>
      </c>
      <c r="J33" s="51" t="s">
        <v>30</v>
      </c>
      <c r="K33" s="51" t="s">
        <v>527</v>
      </c>
      <c r="L33" s="50" t="s">
        <v>30</v>
      </c>
      <c r="M33" s="51" t="s">
        <v>1102</v>
      </c>
      <c r="N33" s="51" t="s">
        <v>1103</v>
      </c>
      <c r="O33" s="50"/>
      <c r="P33" s="82">
        <v>57.34</v>
      </c>
      <c r="Q33" s="39">
        <v>60311005</v>
      </c>
      <c r="R33" s="46" t="s">
        <v>1079</v>
      </c>
      <c r="S33" s="46" t="s">
        <v>1080</v>
      </c>
      <c r="T33" s="46" t="s">
        <v>1104</v>
      </c>
      <c r="U33" t="str">
        <f>IFERROR(+VLOOKUP(H33,'DISPOSITIVOS ACTIVOS'!B:D,3,FALSE),"IPHONE")</f>
        <v>Galaxy</v>
      </c>
      <c r="V33" t="str">
        <f>IFERROR(+VLOOKUP(H33,'[1]Migracion feb25 Ver to ATT'!$B:$G,6,FALSE), "NO MIGRADO")</f>
        <v xml:space="preserve">Galaxy </v>
      </c>
      <c r="W33" s="26">
        <v>15</v>
      </c>
    </row>
    <row r="34" spans="1:23" x14ac:dyDescent="0.3">
      <c r="A34" t="s">
        <v>1062</v>
      </c>
      <c r="B34" s="46" t="s">
        <v>22</v>
      </c>
      <c r="C34" s="46" t="s">
        <v>1063</v>
      </c>
      <c r="D34" s="46">
        <v>6</v>
      </c>
      <c r="E34" s="46">
        <v>2025</v>
      </c>
      <c r="F34" s="46">
        <v>9</v>
      </c>
      <c r="G34" s="47" t="s">
        <v>112</v>
      </c>
      <c r="H34" s="36" t="s">
        <v>111</v>
      </c>
      <c r="I34" s="47" t="s">
        <v>348</v>
      </c>
      <c r="J34" s="47" t="s">
        <v>1068</v>
      </c>
      <c r="K34" s="48" t="s">
        <v>304</v>
      </c>
      <c r="L34" s="48" t="s">
        <v>30</v>
      </c>
      <c r="M34" s="48" t="s">
        <v>1069</v>
      </c>
      <c r="N34" s="48" t="s">
        <v>1083</v>
      </c>
      <c r="O34" s="47"/>
      <c r="P34" s="83">
        <v>36.74</v>
      </c>
      <c r="Q34" s="39">
        <v>60311005</v>
      </c>
      <c r="R34" s="46" t="s">
        <v>1079</v>
      </c>
      <c r="S34" s="46" t="s">
        <v>1080</v>
      </c>
      <c r="T34" s="46" t="s">
        <v>1097</v>
      </c>
      <c r="U34" t="str">
        <f>IFERROR(+VLOOKUP(H34,'DISPOSITIVOS ACTIVOS'!B:D,3,FALSE),"IPHONE")</f>
        <v>Motorola</v>
      </c>
      <c r="V34" t="str">
        <f>IFERROR(+VLOOKUP(H34,'[1]Migracion feb25 Ver to ATT'!$B:$G,6,FALSE), "NO MIGRADO")</f>
        <v>NO MIGRADO</v>
      </c>
      <c r="W34" s="26">
        <v>25</v>
      </c>
    </row>
    <row r="35" spans="1:23" x14ac:dyDescent="0.3">
      <c r="A35" t="s">
        <v>1062</v>
      </c>
      <c r="B35" s="46" t="s">
        <v>22</v>
      </c>
      <c r="C35" s="46" t="s">
        <v>1063</v>
      </c>
      <c r="D35" s="46">
        <v>6</v>
      </c>
      <c r="E35" s="46">
        <v>2025</v>
      </c>
      <c r="F35" s="46">
        <v>9</v>
      </c>
      <c r="G35" s="87" t="s">
        <v>29</v>
      </c>
      <c r="H35" s="88" t="s">
        <v>113</v>
      </c>
      <c r="I35" s="50" t="s">
        <v>351</v>
      </c>
      <c r="J35" s="50" t="s">
        <v>30</v>
      </c>
      <c r="K35" s="51" t="s">
        <v>355</v>
      </c>
      <c r="L35" s="50" t="s">
        <v>30</v>
      </c>
      <c r="M35" s="51" t="s">
        <v>30</v>
      </c>
      <c r="N35" s="50" t="s">
        <v>30</v>
      </c>
      <c r="O35" s="50"/>
      <c r="P35" s="82">
        <v>10</v>
      </c>
      <c r="Q35" s="39">
        <v>60311003</v>
      </c>
      <c r="R35" s="46" t="s">
        <v>1065</v>
      </c>
      <c r="S35" s="46" t="s">
        <v>1066</v>
      </c>
      <c r="T35" s="46" t="s">
        <v>1067</v>
      </c>
      <c r="U35" t="str">
        <f>IFERROR(+VLOOKUP(H35,'DISPOSITIVOS ACTIVOS'!B:D,3,FALSE),"IPHONE")</f>
        <v>IPHONE</v>
      </c>
      <c r="V35" t="str">
        <f>IFERROR(+VLOOKUP(H35,'[1]Migracion feb25 Ver to ATT'!$B:$G,6,FALSE), "NO MIGRADO")</f>
        <v>NO MIGRADO</v>
      </c>
      <c r="W35" s="26">
        <v>25</v>
      </c>
    </row>
    <row r="36" spans="1:23" x14ac:dyDescent="0.3">
      <c r="A36" t="s">
        <v>1062</v>
      </c>
      <c r="B36" s="46" t="s">
        <v>22</v>
      </c>
      <c r="C36" s="46" t="s">
        <v>1063</v>
      </c>
      <c r="D36" s="46">
        <v>6</v>
      </c>
      <c r="E36" s="46">
        <v>2025</v>
      </c>
      <c r="F36" s="46">
        <v>9</v>
      </c>
      <c r="G36" s="47" t="s">
        <v>116</v>
      </c>
      <c r="H36" s="36" t="s">
        <v>115</v>
      </c>
      <c r="I36" s="47" t="s">
        <v>353</v>
      </c>
      <c r="J36" s="47" t="s">
        <v>30</v>
      </c>
      <c r="K36" s="48" t="s">
        <v>297</v>
      </c>
      <c r="L36" s="47" t="s">
        <v>30</v>
      </c>
      <c r="M36" s="48" t="s">
        <v>264</v>
      </c>
      <c r="N36" s="48" t="s">
        <v>30</v>
      </c>
      <c r="O36" s="47"/>
      <c r="P36" s="83">
        <v>18.75</v>
      </c>
      <c r="Q36" s="39">
        <v>10145005</v>
      </c>
      <c r="R36" s="46"/>
      <c r="S36" s="46"/>
      <c r="T36" s="46"/>
      <c r="U36" t="str">
        <f>IFERROR(+VLOOKUP(H36,'DISPOSITIVOS ACTIVOS'!B:D,3,FALSE),"IPHONE")</f>
        <v>Ipad</v>
      </c>
      <c r="V36" t="str">
        <f>IFERROR(+VLOOKUP(H36,'[1]Migracion feb25 Ver to ATT'!$B:$G,6,FALSE), "NO MIGRADO")</f>
        <v>Ipad</v>
      </c>
      <c r="W36" s="26">
        <v>15</v>
      </c>
    </row>
    <row r="37" spans="1:23" x14ac:dyDescent="0.3">
      <c r="A37" t="s">
        <v>1062</v>
      </c>
      <c r="B37" s="46" t="s">
        <v>22</v>
      </c>
      <c r="C37" s="46" t="s">
        <v>1063</v>
      </c>
      <c r="D37" s="46">
        <v>6</v>
      </c>
      <c r="E37" s="46">
        <v>2025</v>
      </c>
      <c r="F37" s="46">
        <v>9</v>
      </c>
      <c r="G37" s="50" t="s">
        <v>118</v>
      </c>
      <c r="H37" s="37" t="s">
        <v>117</v>
      </c>
      <c r="I37" s="50" t="s">
        <v>356</v>
      </c>
      <c r="J37" s="50" t="s">
        <v>1068</v>
      </c>
      <c r="K37" s="51" t="s">
        <v>304</v>
      </c>
      <c r="L37" s="50" t="s">
        <v>304</v>
      </c>
      <c r="M37" s="51" t="s">
        <v>1069</v>
      </c>
      <c r="N37" s="51" t="s">
        <v>1083</v>
      </c>
      <c r="O37" s="50"/>
      <c r="P37" s="82">
        <v>61.74</v>
      </c>
      <c r="Q37" s="39">
        <v>60311005</v>
      </c>
      <c r="R37" s="46" t="s">
        <v>1105</v>
      </c>
      <c r="S37" s="46" t="s">
        <v>1106</v>
      </c>
      <c r="T37" s="46" t="s">
        <v>1107</v>
      </c>
      <c r="U37" t="str">
        <f>IFERROR(+VLOOKUP(H37,'DISPOSITIVOS ACTIVOS'!B:D,3,FALSE),"IPHONE")</f>
        <v>Iphone</v>
      </c>
      <c r="V37" t="str">
        <f>IFERROR(+VLOOKUP(H37,'[1]Migracion feb25 Ver to ATT'!$B:$G,6,FALSE), "NO MIGRADO")</f>
        <v>NO MIGRADO</v>
      </c>
      <c r="W37" s="26">
        <v>25</v>
      </c>
    </row>
    <row r="38" spans="1:23" x14ac:dyDescent="0.3">
      <c r="A38" t="s">
        <v>1062</v>
      </c>
      <c r="B38" s="46" t="s">
        <v>22</v>
      </c>
      <c r="C38" s="46" t="s">
        <v>1063</v>
      </c>
      <c r="D38" s="46">
        <v>6</v>
      </c>
      <c r="E38" s="46">
        <v>2025</v>
      </c>
      <c r="F38" s="46">
        <v>9</v>
      </c>
      <c r="G38" s="47" t="s">
        <v>120</v>
      </c>
      <c r="H38" s="36" t="s">
        <v>119</v>
      </c>
      <c r="I38" s="47" t="s">
        <v>357</v>
      </c>
      <c r="J38" s="47" t="s">
        <v>1068</v>
      </c>
      <c r="K38" s="48" t="s">
        <v>527</v>
      </c>
      <c r="L38" s="47" t="s">
        <v>30</v>
      </c>
      <c r="M38" s="48" t="s">
        <v>1072</v>
      </c>
      <c r="N38" s="48" t="s">
        <v>1073</v>
      </c>
      <c r="O38" s="47"/>
      <c r="P38" s="83">
        <v>60.24</v>
      </c>
      <c r="Q38" s="39">
        <v>60311005</v>
      </c>
      <c r="R38" s="46" t="s">
        <v>1079</v>
      </c>
      <c r="S38" s="46" t="s">
        <v>1089</v>
      </c>
      <c r="T38" s="46" t="s">
        <v>1090</v>
      </c>
      <c r="U38" t="str">
        <f>IFERROR(+VLOOKUP(H38,'DISPOSITIVOS ACTIVOS'!B:D,3,FALSE),"IPHONE")</f>
        <v>Galaxy</v>
      </c>
      <c r="V38" t="str">
        <f>IFERROR(+VLOOKUP(H38,'[1]Migracion feb25 Ver to ATT'!$B:$G,6,FALSE), "NO MIGRADO")</f>
        <v>NO MIGRADO</v>
      </c>
      <c r="W38" s="26">
        <v>25</v>
      </c>
    </row>
    <row r="39" spans="1:23" x14ac:dyDescent="0.3">
      <c r="A39" t="s">
        <v>1062</v>
      </c>
      <c r="B39" s="46" t="s">
        <v>22</v>
      </c>
      <c r="C39" s="46" t="s">
        <v>1063</v>
      </c>
      <c r="D39" s="46">
        <v>6</v>
      </c>
      <c r="E39" s="46">
        <v>2025</v>
      </c>
      <c r="F39" s="46">
        <v>9</v>
      </c>
      <c r="G39" s="50" t="s">
        <v>122</v>
      </c>
      <c r="H39" s="37" t="s">
        <v>121</v>
      </c>
      <c r="I39" s="50" t="s">
        <v>358</v>
      </c>
      <c r="J39" s="51" t="s">
        <v>1068</v>
      </c>
      <c r="K39" s="51" t="s">
        <v>527</v>
      </c>
      <c r="L39" s="50" t="s">
        <v>30</v>
      </c>
      <c r="M39" s="51" t="s">
        <v>1072</v>
      </c>
      <c r="N39" s="51" t="s">
        <v>1073</v>
      </c>
      <c r="O39" s="50"/>
      <c r="P39" s="82">
        <v>60.24</v>
      </c>
      <c r="Q39" s="39">
        <v>60311005</v>
      </c>
      <c r="R39" s="46" t="s">
        <v>1079</v>
      </c>
      <c r="S39" s="46" t="s">
        <v>1089</v>
      </c>
      <c r="T39" s="46" t="s">
        <v>1090</v>
      </c>
      <c r="U39" t="str">
        <f>IFERROR(+VLOOKUP(H39,'DISPOSITIVOS ACTIVOS'!B:D,3,FALSE),"IPHONE")</f>
        <v>Iphone</v>
      </c>
      <c r="V39" t="str">
        <f>IFERROR(+VLOOKUP(H39,'[1]Migracion feb25 Ver to ATT'!$B:$G,6,FALSE), "NO MIGRADO")</f>
        <v>Iphone</v>
      </c>
      <c r="W39" s="26">
        <v>15</v>
      </c>
    </row>
    <row r="40" spans="1:23" x14ac:dyDescent="0.3">
      <c r="A40" t="s">
        <v>1062</v>
      </c>
      <c r="B40" s="46" t="s">
        <v>22</v>
      </c>
      <c r="C40" s="46" t="s">
        <v>1063</v>
      </c>
      <c r="D40" s="46">
        <v>6</v>
      </c>
      <c r="E40" s="46">
        <v>2025</v>
      </c>
      <c r="F40" s="46">
        <v>9</v>
      </c>
      <c r="G40" s="47" t="s">
        <v>124</v>
      </c>
      <c r="H40" s="36" t="s">
        <v>123</v>
      </c>
      <c r="I40" s="47" t="s">
        <v>359</v>
      </c>
      <c r="J40" s="47" t="s">
        <v>1108</v>
      </c>
      <c r="K40" s="48" t="s">
        <v>304</v>
      </c>
      <c r="L40" s="48" t="s">
        <v>362</v>
      </c>
      <c r="M40" s="48" t="s">
        <v>1109</v>
      </c>
      <c r="N40" s="48" t="s">
        <v>1110</v>
      </c>
      <c r="O40" s="47"/>
      <c r="P40" s="83">
        <v>78.72</v>
      </c>
      <c r="Q40" s="39">
        <v>60311005</v>
      </c>
      <c r="R40" s="46" t="s">
        <v>1111</v>
      </c>
      <c r="S40" s="46" t="s">
        <v>1112</v>
      </c>
      <c r="T40" s="46" t="s">
        <v>1113</v>
      </c>
      <c r="U40" t="str">
        <f>IFERROR(+VLOOKUP(H40,'DISPOSITIVOS ACTIVOS'!B:D,3,FALSE),"IPHONE")</f>
        <v>Iphone</v>
      </c>
      <c r="V40" t="str">
        <f>IFERROR(+VLOOKUP(H40,'[1]Migracion feb25 Ver to ATT'!$B:$G,6,FALSE), "NO MIGRADO")</f>
        <v>NO MIGRADO</v>
      </c>
      <c r="W40" s="26">
        <v>25</v>
      </c>
    </row>
    <row r="41" spans="1:23" x14ac:dyDescent="0.3">
      <c r="A41" t="s">
        <v>1062</v>
      </c>
      <c r="B41" s="46" t="s">
        <v>22</v>
      </c>
      <c r="C41" s="46" t="s">
        <v>1063</v>
      </c>
      <c r="D41" s="46">
        <v>6</v>
      </c>
      <c r="E41" s="46">
        <v>2025</v>
      </c>
      <c r="F41" s="46">
        <v>9</v>
      </c>
      <c r="G41" s="50" t="s">
        <v>126</v>
      </c>
      <c r="H41" s="37" t="s">
        <v>125</v>
      </c>
      <c r="I41" s="50" t="s">
        <v>360</v>
      </c>
      <c r="J41" s="51" t="s">
        <v>1068</v>
      </c>
      <c r="K41" s="51" t="s">
        <v>304</v>
      </c>
      <c r="L41" s="50" t="s">
        <v>30</v>
      </c>
      <c r="M41" s="51" t="s">
        <v>1069</v>
      </c>
      <c r="N41" s="51" t="s">
        <v>1083</v>
      </c>
      <c r="O41" s="50"/>
      <c r="P41" s="82">
        <v>36.74</v>
      </c>
      <c r="Q41" s="39">
        <v>60311005</v>
      </c>
      <c r="R41" s="46" t="s">
        <v>1065</v>
      </c>
      <c r="S41" s="46" t="s">
        <v>1066</v>
      </c>
      <c r="T41" s="46" t="s">
        <v>1085</v>
      </c>
      <c r="U41" t="str">
        <f>IFERROR(+VLOOKUP(H41,'DISPOSITIVOS ACTIVOS'!B:D,3,FALSE),"IPHONE")</f>
        <v>Iphone</v>
      </c>
      <c r="V41" t="str">
        <f>IFERROR(+VLOOKUP(H41,'[1]Migracion feb25 Ver to ATT'!$B:$G,6,FALSE), "NO MIGRADO")</f>
        <v>NO MIGRADO</v>
      </c>
      <c r="W41" s="26">
        <v>25</v>
      </c>
    </row>
    <row r="42" spans="1:23" x14ac:dyDescent="0.3">
      <c r="A42" t="s">
        <v>1062</v>
      </c>
      <c r="B42" s="46" t="s">
        <v>22</v>
      </c>
      <c r="C42" s="46" t="s">
        <v>1063</v>
      </c>
      <c r="D42" s="46">
        <v>6</v>
      </c>
      <c r="E42" s="46">
        <v>2025</v>
      </c>
      <c r="F42" s="46">
        <v>9</v>
      </c>
      <c r="G42" s="47" t="s">
        <v>128</v>
      </c>
      <c r="H42" s="36" t="s">
        <v>127</v>
      </c>
      <c r="I42" s="47" t="s">
        <v>365</v>
      </c>
      <c r="J42" s="47" t="s">
        <v>1068</v>
      </c>
      <c r="K42" s="48" t="s">
        <v>304</v>
      </c>
      <c r="L42" s="48" t="s">
        <v>30</v>
      </c>
      <c r="M42" s="48" t="s">
        <v>1069</v>
      </c>
      <c r="N42" s="48" t="s">
        <v>1083</v>
      </c>
      <c r="O42" s="47"/>
      <c r="P42" s="83">
        <v>36.74</v>
      </c>
      <c r="Q42" s="39">
        <v>60311005</v>
      </c>
      <c r="R42" s="46" t="s">
        <v>1114</v>
      </c>
      <c r="S42" s="46" t="s">
        <v>1115</v>
      </c>
      <c r="T42" s="46" t="s">
        <v>1116</v>
      </c>
      <c r="U42" t="str">
        <f>IFERROR(+VLOOKUP(H42,'DISPOSITIVOS ACTIVOS'!B:D,3,FALSE),"IPHONE")</f>
        <v>Iphone</v>
      </c>
      <c r="V42" t="str">
        <f>IFERROR(+VLOOKUP(H42,'[1]Migracion feb25 Ver to ATT'!$B:$G,6,FALSE), "NO MIGRADO")</f>
        <v>NO MIGRADO</v>
      </c>
      <c r="W42" s="26">
        <v>25</v>
      </c>
    </row>
    <row r="43" spans="1:23" x14ac:dyDescent="0.3">
      <c r="A43" t="s">
        <v>1062</v>
      </c>
      <c r="B43" s="46" t="s">
        <v>22</v>
      </c>
      <c r="C43" s="46" t="s">
        <v>1063</v>
      </c>
      <c r="D43" s="46">
        <v>6</v>
      </c>
      <c r="E43" s="46">
        <v>2025</v>
      </c>
      <c r="F43" s="46">
        <v>9</v>
      </c>
      <c r="G43" s="50" t="s">
        <v>130</v>
      </c>
      <c r="H43" s="37" t="s">
        <v>129</v>
      </c>
      <c r="I43" s="50" t="s">
        <v>366</v>
      </c>
      <c r="J43" s="50" t="s">
        <v>1068</v>
      </c>
      <c r="K43" s="51" t="s">
        <v>304</v>
      </c>
      <c r="L43" s="50" t="s">
        <v>30</v>
      </c>
      <c r="M43" s="51" t="s">
        <v>1069</v>
      </c>
      <c r="N43" s="50" t="s">
        <v>1083</v>
      </c>
      <c r="O43" s="50"/>
      <c r="P43" s="82">
        <v>36.74</v>
      </c>
      <c r="Q43" s="39">
        <v>60311005</v>
      </c>
      <c r="R43" s="46" t="s">
        <v>1065</v>
      </c>
      <c r="S43" s="46" t="s">
        <v>1100</v>
      </c>
      <c r="T43" s="46" t="s">
        <v>1117</v>
      </c>
      <c r="U43" t="str">
        <f>IFERROR(+VLOOKUP(H43,'DISPOSITIVOS ACTIVOS'!B:D,3,FALSE),"IPHONE")</f>
        <v>Iphone</v>
      </c>
      <c r="V43" t="str">
        <f>IFERROR(+VLOOKUP(H43,'[1]Migracion feb25 Ver to ATT'!$B:$G,6,FALSE), "NO MIGRADO")</f>
        <v>NO MIGRADO</v>
      </c>
      <c r="W43" s="26">
        <v>25</v>
      </c>
    </row>
    <row r="44" spans="1:23" x14ac:dyDescent="0.3">
      <c r="A44" t="s">
        <v>1062</v>
      </c>
      <c r="B44" s="46" t="s">
        <v>22</v>
      </c>
      <c r="C44" s="46" t="s">
        <v>1063</v>
      </c>
      <c r="D44" s="46">
        <v>6</v>
      </c>
      <c r="E44" s="46">
        <v>2025</v>
      </c>
      <c r="F44" s="46">
        <v>9</v>
      </c>
      <c r="G44" s="47" t="s">
        <v>132</v>
      </c>
      <c r="H44" s="36" t="s">
        <v>131</v>
      </c>
      <c r="I44" s="47" t="s">
        <v>367</v>
      </c>
      <c r="J44" s="47" t="s">
        <v>1068</v>
      </c>
      <c r="K44" s="48" t="s">
        <v>527</v>
      </c>
      <c r="L44" s="47" t="s">
        <v>30</v>
      </c>
      <c r="M44" s="48" t="s">
        <v>1072</v>
      </c>
      <c r="N44" s="48" t="s">
        <v>1073</v>
      </c>
      <c r="O44" s="47"/>
      <c r="P44" s="83">
        <v>60.24</v>
      </c>
      <c r="Q44" s="39">
        <v>60311005</v>
      </c>
      <c r="R44" s="46" t="s">
        <v>1065</v>
      </c>
      <c r="S44" s="46" t="s">
        <v>1066</v>
      </c>
      <c r="T44" s="46" t="s">
        <v>1067</v>
      </c>
      <c r="U44" t="str">
        <f>IFERROR(+VLOOKUP(H44,'DISPOSITIVOS ACTIVOS'!B:D,3,FALSE),"IPHONE")</f>
        <v>Iphone</v>
      </c>
      <c r="V44" t="str">
        <f>IFERROR(+VLOOKUP(H44,'[1]Migracion feb25 Ver to ATT'!$B:$G,6,FALSE), "NO MIGRADO")</f>
        <v>Iphone</v>
      </c>
      <c r="W44" s="26">
        <v>15</v>
      </c>
    </row>
    <row r="45" spans="1:23" x14ac:dyDescent="0.3">
      <c r="A45" t="s">
        <v>1062</v>
      </c>
      <c r="B45" s="46" t="s">
        <v>22</v>
      </c>
      <c r="C45" s="46" t="s">
        <v>1063</v>
      </c>
      <c r="D45" s="46">
        <v>6</v>
      </c>
      <c r="E45" s="46">
        <v>2025</v>
      </c>
      <c r="F45" s="46">
        <v>9</v>
      </c>
      <c r="G45" s="87" t="s">
        <v>134</v>
      </c>
      <c r="H45" s="88" t="s">
        <v>133</v>
      </c>
      <c r="I45" s="50" t="s">
        <v>368</v>
      </c>
      <c r="J45" s="50" t="s">
        <v>467</v>
      </c>
      <c r="K45" s="51" t="s">
        <v>304</v>
      </c>
      <c r="L45" s="50" t="s">
        <v>30</v>
      </c>
      <c r="M45" s="51" t="s">
        <v>1086</v>
      </c>
      <c r="N45" s="51" t="s">
        <v>1087</v>
      </c>
      <c r="O45" s="50"/>
      <c r="P45" s="82">
        <v>42.68</v>
      </c>
      <c r="Q45" s="39">
        <v>60311005</v>
      </c>
      <c r="R45" s="46" t="s">
        <v>1065</v>
      </c>
      <c r="S45" s="46" t="s">
        <v>1100</v>
      </c>
      <c r="T45" s="46" t="s">
        <v>1117</v>
      </c>
      <c r="U45" t="str">
        <f>IFERROR(+VLOOKUP(H45,'DISPOSITIVOS ACTIVOS'!B:D,3,FALSE),"IPHONE")</f>
        <v>IPHONE</v>
      </c>
      <c r="V45" t="str">
        <f>IFERROR(+VLOOKUP(H45,'[1]Migracion feb25 Ver to ATT'!$B:$G,6,FALSE), "NO MIGRADO")</f>
        <v>NO MIGRADO</v>
      </c>
      <c r="W45" s="26">
        <v>25</v>
      </c>
    </row>
    <row r="46" spans="1:23" x14ac:dyDescent="0.3">
      <c r="A46" t="s">
        <v>1062</v>
      </c>
      <c r="B46" s="46" t="s">
        <v>22</v>
      </c>
      <c r="C46" s="46" t="s">
        <v>1063</v>
      </c>
      <c r="D46" s="46">
        <v>6</v>
      </c>
      <c r="E46" s="46">
        <v>2025</v>
      </c>
      <c r="F46" s="46">
        <v>9</v>
      </c>
      <c r="G46" s="47" t="s">
        <v>136</v>
      </c>
      <c r="H46" s="36" t="s">
        <v>135</v>
      </c>
      <c r="I46" s="47" t="s">
        <v>369</v>
      </c>
      <c r="J46" s="47" t="s">
        <v>1068</v>
      </c>
      <c r="K46" s="48" t="s">
        <v>304</v>
      </c>
      <c r="L46" s="47" t="s">
        <v>372</v>
      </c>
      <c r="M46" s="48" t="s">
        <v>1069</v>
      </c>
      <c r="N46" s="48" t="s">
        <v>1083</v>
      </c>
      <c r="O46" s="47"/>
      <c r="P46" s="83">
        <v>67.3</v>
      </c>
      <c r="Q46" s="39">
        <v>60311005</v>
      </c>
      <c r="R46" s="46" t="s">
        <v>1111</v>
      </c>
      <c r="S46" s="46" t="s">
        <v>1112</v>
      </c>
      <c r="T46" s="46" t="s">
        <v>1113</v>
      </c>
      <c r="U46" t="str">
        <f>IFERROR(+VLOOKUP(H46,'DISPOSITIVOS ACTIVOS'!B:D,3,FALSE),"IPHONE")</f>
        <v>Iphone</v>
      </c>
      <c r="V46" t="str">
        <f>IFERROR(+VLOOKUP(H46,'[1]Migracion feb25 Ver to ATT'!$B:$G,6,FALSE), "NO MIGRADO")</f>
        <v>NO MIGRADO</v>
      </c>
      <c r="W46" s="26">
        <v>25</v>
      </c>
    </row>
    <row r="47" spans="1:23" x14ac:dyDescent="0.3">
      <c r="A47" t="s">
        <v>1062</v>
      </c>
      <c r="B47" s="46" t="s">
        <v>22</v>
      </c>
      <c r="C47" s="46" t="s">
        <v>1063</v>
      </c>
      <c r="D47" s="46">
        <v>6</v>
      </c>
      <c r="E47" s="46">
        <v>2025</v>
      </c>
      <c r="F47" s="46">
        <v>9</v>
      </c>
      <c r="G47" s="50" t="s">
        <v>36</v>
      </c>
      <c r="H47" s="37" t="s">
        <v>137</v>
      </c>
      <c r="I47" s="50" t="s">
        <v>370</v>
      </c>
      <c r="J47" s="51" t="s">
        <v>297</v>
      </c>
      <c r="K47" s="51" t="s">
        <v>304</v>
      </c>
      <c r="L47" s="50" t="s">
        <v>362</v>
      </c>
      <c r="M47" s="51" t="s">
        <v>1118</v>
      </c>
      <c r="N47" s="51" t="s">
        <v>1119</v>
      </c>
      <c r="O47" s="50"/>
      <c r="P47" s="82">
        <v>97.25</v>
      </c>
      <c r="Q47" s="39">
        <v>60311005</v>
      </c>
      <c r="R47" s="46" t="s">
        <v>284</v>
      </c>
      <c r="S47" s="46" t="s">
        <v>1120</v>
      </c>
      <c r="T47" s="46" t="s">
        <v>1121</v>
      </c>
      <c r="U47" t="str">
        <f>IFERROR(+VLOOKUP(H47,'DISPOSITIVOS ACTIVOS'!B:D,3,FALSE),"IPHONE")</f>
        <v>Iphone</v>
      </c>
      <c r="V47" t="str">
        <f>IFERROR(+VLOOKUP(H47,'[1]Migracion feb25 Ver to ATT'!$B:$G,6,FALSE), "NO MIGRADO")</f>
        <v>NO MIGRADO</v>
      </c>
      <c r="W47" s="26">
        <v>25</v>
      </c>
    </row>
    <row r="48" spans="1:23" x14ac:dyDescent="0.3">
      <c r="A48" t="s">
        <v>1062</v>
      </c>
      <c r="B48" s="46" t="s">
        <v>22</v>
      </c>
      <c r="C48" s="46" t="s">
        <v>1063</v>
      </c>
      <c r="D48" s="46">
        <v>6</v>
      </c>
      <c r="E48" s="46">
        <v>2025</v>
      </c>
      <c r="F48" s="46">
        <v>9</v>
      </c>
      <c r="G48" s="84" t="s">
        <v>48</v>
      </c>
      <c r="H48" s="85" t="s">
        <v>47</v>
      </c>
      <c r="I48" s="47" t="s">
        <v>375</v>
      </c>
      <c r="J48" s="47" t="s">
        <v>30</v>
      </c>
      <c r="K48" s="48" t="s">
        <v>355</v>
      </c>
      <c r="L48" s="48" t="s">
        <v>30</v>
      </c>
      <c r="M48" s="48" t="s">
        <v>30</v>
      </c>
      <c r="N48" s="48" t="s">
        <v>30</v>
      </c>
      <c r="O48" s="47"/>
      <c r="P48" s="83">
        <v>10</v>
      </c>
      <c r="Q48" s="39">
        <v>10145005</v>
      </c>
      <c r="R48" s="46"/>
      <c r="S48" s="46"/>
      <c r="T48" s="46"/>
      <c r="U48" t="str">
        <f>IFERROR(+VLOOKUP(H48,'DISPOSITIVOS ACTIVOS'!B:D,3,FALSE),"IPHONE")</f>
        <v>IPHONE</v>
      </c>
      <c r="V48" t="str">
        <f>IFERROR(+VLOOKUP(H48,'[1]Migracion feb25 Ver to ATT'!$B:$G,6,FALSE), "NO MIGRADO")</f>
        <v>NO MIGRADO</v>
      </c>
      <c r="W48" s="26">
        <v>25</v>
      </c>
    </row>
    <row r="49" spans="1:23" x14ac:dyDescent="0.3">
      <c r="A49" t="s">
        <v>1062</v>
      </c>
      <c r="B49" s="46" t="s">
        <v>22</v>
      </c>
      <c r="C49" s="46" t="s">
        <v>1063</v>
      </c>
      <c r="D49" s="46">
        <v>6</v>
      </c>
      <c r="E49" s="46">
        <v>2025</v>
      </c>
      <c r="F49" s="46">
        <v>9</v>
      </c>
      <c r="G49" s="50" t="s">
        <v>139</v>
      </c>
      <c r="H49" s="37" t="s">
        <v>138</v>
      </c>
      <c r="I49" s="50" t="s">
        <v>379</v>
      </c>
      <c r="J49" s="51" t="s">
        <v>30</v>
      </c>
      <c r="K49" s="51" t="s">
        <v>297</v>
      </c>
      <c r="L49" s="50" t="s">
        <v>30</v>
      </c>
      <c r="M49" s="51" t="s">
        <v>264</v>
      </c>
      <c r="N49" s="51" t="s">
        <v>30</v>
      </c>
      <c r="O49" s="50"/>
      <c r="P49" s="82">
        <v>18.75</v>
      </c>
      <c r="Q49" s="39">
        <v>60311003</v>
      </c>
      <c r="R49" s="46" t="s">
        <v>1065</v>
      </c>
      <c r="S49" s="46" t="s">
        <v>1066</v>
      </c>
      <c r="T49" s="46" t="s">
        <v>1084</v>
      </c>
      <c r="U49" t="str">
        <f>IFERROR(+VLOOKUP(H49,'DISPOSITIVOS ACTIVOS'!B:D,3,FALSE),"IPHONE")</f>
        <v>Ipad</v>
      </c>
      <c r="V49" t="str">
        <f>IFERROR(+VLOOKUP(H49,'[1]Migracion feb25 Ver to ATT'!$B:$G,6,FALSE), "NO MIGRADO")</f>
        <v>NO MIGRADO</v>
      </c>
      <c r="W49" s="26">
        <v>15</v>
      </c>
    </row>
    <row r="50" spans="1:23" x14ac:dyDescent="0.3">
      <c r="A50" t="s">
        <v>1062</v>
      </c>
      <c r="B50" s="46" t="s">
        <v>22</v>
      </c>
      <c r="C50" s="46" t="s">
        <v>1063</v>
      </c>
      <c r="D50" s="46">
        <v>6</v>
      </c>
      <c r="E50" s="46">
        <v>2025</v>
      </c>
      <c r="F50" s="46">
        <v>9</v>
      </c>
      <c r="G50" s="47" t="s">
        <v>141</v>
      </c>
      <c r="H50" s="36" t="s">
        <v>140</v>
      </c>
      <c r="I50" s="47" t="s">
        <v>381</v>
      </c>
      <c r="J50" s="47" t="s">
        <v>30</v>
      </c>
      <c r="K50" s="48" t="s">
        <v>297</v>
      </c>
      <c r="L50" s="48" t="s">
        <v>30</v>
      </c>
      <c r="M50" s="48" t="s">
        <v>264</v>
      </c>
      <c r="N50" s="48" t="s">
        <v>30</v>
      </c>
      <c r="O50" s="47"/>
      <c r="P50" s="83">
        <v>18.75</v>
      </c>
      <c r="Q50" s="39">
        <v>60311003</v>
      </c>
      <c r="R50" s="46" t="s">
        <v>1065</v>
      </c>
      <c r="S50" s="46" t="s">
        <v>1066</v>
      </c>
      <c r="T50" s="46" t="s">
        <v>1071</v>
      </c>
      <c r="U50" t="str">
        <f>IFERROR(+VLOOKUP(H50,'DISPOSITIVOS ACTIVOS'!B:D,3,FALSE),"IPHONE")</f>
        <v>Ipad</v>
      </c>
      <c r="V50" t="str">
        <f>IFERROR(+VLOOKUP(H50,'[1]Migracion feb25 Ver to ATT'!$B:$G,6,FALSE), "NO MIGRADO")</f>
        <v>NO MIGRADO</v>
      </c>
      <c r="W50" s="26">
        <v>15</v>
      </c>
    </row>
    <row r="51" spans="1:23" x14ac:dyDescent="0.3">
      <c r="A51" t="s">
        <v>1062</v>
      </c>
      <c r="B51" s="46" t="s">
        <v>22</v>
      </c>
      <c r="C51" s="46" t="s">
        <v>1063</v>
      </c>
      <c r="D51" s="46">
        <v>6</v>
      </c>
      <c r="E51" s="46">
        <v>2025</v>
      </c>
      <c r="F51" s="46">
        <v>9</v>
      </c>
      <c r="G51" s="50" t="s">
        <v>143</v>
      </c>
      <c r="H51" s="37" t="s">
        <v>142</v>
      </c>
      <c r="I51" s="50" t="s">
        <v>382</v>
      </c>
      <c r="J51" s="50" t="s">
        <v>30</v>
      </c>
      <c r="K51" s="51" t="s">
        <v>297</v>
      </c>
      <c r="L51" s="50" t="s">
        <v>30</v>
      </c>
      <c r="M51" s="51" t="s">
        <v>264</v>
      </c>
      <c r="N51" s="50" t="s">
        <v>30</v>
      </c>
      <c r="O51" s="50"/>
      <c r="P51" s="82">
        <v>18.75</v>
      </c>
      <c r="Q51" s="39">
        <v>60311003</v>
      </c>
      <c r="R51" s="46" t="s">
        <v>1065</v>
      </c>
      <c r="S51" s="46" t="s">
        <v>1066</v>
      </c>
      <c r="T51" s="46" t="s">
        <v>1071</v>
      </c>
      <c r="U51" t="str">
        <f>IFERROR(+VLOOKUP(H51,'DISPOSITIVOS ACTIVOS'!B:D,3,FALSE),"IPHONE")</f>
        <v>Ipad</v>
      </c>
      <c r="V51" t="str">
        <f>IFERROR(+VLOOKUP(H51,'[1]Migracion feb25 Ver to ATT'!$B:$G,6,FALSE), "NO MIGRADO")</f>
        <v>NO MIGRADO</v>
      </c>
      <c r="W51" s="26">
        <v>15</v>
      </c>
    </row>
    <row r="52" spans="1:23" x14ac:dyDescent="0.3">
      <c r="A52" t="s">
        <v>1062</v>
      </c>
      <c r="B52" s="46" t="s">
        <v>22</v>
      </c>
      <c r="C52" s="46" t="s">
        <v>1063</v>
      </c>
      <c r="D52" s="46">
        <v>6</v>
      </c>
      <c r="E52" s="46">
        <v>2025</v>
      </c>
      <c r="F52" s="46">
        <v>9</v>
      </c>
      <c r="G52" s="47" t="s">
        <v>145</v>
      </c>
      <c r="H52" s="36" t="s">
        <v>144</v>
      </c>
      <c r="I52" s="47" t="s">
        <v>383</v>
      </c>
      <c r="J52" s="47" t="s">
        <v>1068</v>
      </c>
      <c r="K52" s="48" t="s">
        <v>304</v>
      </c>
      <c r="L52" s="47" t="s">
        <v>299</v>
      </c>
      <c r="M52" s="48" t="s">
        <v>1069</v>
      </c>
      <c r="N52" s="48" t="s">
        <v>1083</v>
      </c>
      <c r="O52" s="47"/>
      <c r="P52" s="83">
        <v>47.73</v>
      </c>
      <c r="Q52" s="39">
        <v>60311005</v>
      </c>
      <c r="R52" s="46" t="s">
        <v>1065</v>
      </c>
      <c r="S52" s="46" t="s">
        <v>1066</v>
      </c>
      <c r="T52" s="46" t="s">
        <v>1067</v>
      </c>
      <c r="U52" t="str">
        <f>IFERROR(+VLOOKUP(H52,'DISPOSITIVOS ACTIVOS'!B:D,3,FALSE),"IPHONE")</f>
        <v>Iphone</v>
      </c>
      <c r="V52" t="str">
        <f>IFERROR(+VLOOKUP(H52,'[1]Migracion feb25 Ver to ATT'!$B:$G,6,FALSE), "NO MIGRADO")</f>
        <v>NO MIGRADO</v>
      </c>
      <c r="W52" s="26">
        <v>25</v>
      </c>
    </row>
    <row r="53" spans="1:23" x14ac:dyDescent="0.3">
      <c r="A53" t="s">
        <v>1062</v>
      </c>
      <c r="B53" s="46" t="s">
        <v>22</v>
      </c>
      <c r="C53" s="46" t="s">
        <v>1063</v>
      </c>
      <c r="D53" s="46">
        <v>6</v>
      </c>
      <c r="E53" s="46">
        <v>2025</v>
      </c>
      <c r="F53" s="46">
        <v>9</v>
      </c>
      <c r="G53" s="50" t="s">
        <v>96</v>
      </c>
      <c r="H53" s="37" t="s">
        <v>146</v>
      </c>
      <c r="I53" s="50" t="s">
        <v>384</v>
      </c>
      <c r="J53" s="50" t="s">
        <v>1068</v>
      </c>
      <c r="K53" s="51" t="s">
        <v>527</v>
      </c>
      <c r="L53" s="50" t="s">
        <v>30</v>
      </c>
      <c r="M53" s="51" t="s">
        <v>1072</v>
      </c>
      <c r="N53" s="51" t="s">
        <v>1073</v>
      </c>
      <c r="O53" s="50"/>
      <c r="P53" s="82">
        <v>60.24</v>
      </c>
      <c r="Q53" s="39">
        <v>10145005</v>
      </c>
      <c r="R53" s="46"/>
      <c r="S53" s="46"/>
      <c r="T53" s="46"/>
      <c r="U53" t="str">
        <f>IFERROR(+VLOOKUP(H53,'DISPOSITIVOS ACTIVOS'!B:D,3,FALSE),"IPHONE")</f>
        <v>Iphone</v>
      </c>
      <c r="V53" t="str">
        <f>IFERROR(+VLOOKUP(H53,'[1]Migracion feb25 Ver to ATT'!$B:$G,6,FALSE), "NO MIGRADO")</f>
        <v>Iphone</v>
      </c>
      <c r="W53" s="26">
        <v>15</v>
      </c>
    </row>
    <row r="54" spans="1:23" x14ac:dyDescent="0.3">
      <c r="A54" t="s">
        <v>1062</v>
      </c>
      <c r="B54" s="46" t="s">
        <v>22</v>
      </c>
      <c r="C54" s="46" t="s">
        <v>1063</v>
      </c>
      <c r="D54" s="46">
        <v>6</v>
      </c>
      <c r="E54" s="46">
        <v>2025</v>
      </c>
      <c r="F54" s="46">
        <v>9</v>
      </c>
      <c r="G54" s="47" t="s">
        <v>148</v>
      </c>
      <c r="H54" s="36" t="s">
        <v>147</v>
      </c>
      <c r="I54" s="47" t="s">
        <v>385</v>
      </c>
      <c r="J54" s="47" t="s">
        <v>1068</v>
      </c>
      <c r="K54" s="48" t="s">
        <v>527</v>
      </c>
      <c r="L54" s="47" t="s">
        <v>30</v>
      </c>
      <c r="M54" s="48" t="s">
        <v>1072</v>
      </c>
      <c r="N54" s="48" t="s">
        <v>1073</v>
      </c>
      <c r="O54" s="47"/>
      <c r="P54" s="83">
        <v>60.24</v>
      </c>
      <c r="Q54" s="39">
        <v>60311005</v>
      </c>
      <c r="R54" s="46" t="s">
        <v>1065</v>
      </c>
      <c r="S54" s="46" t="s">
        <v>1066</v>
      </c>
      <c r="T54" s="46" t="s">
        <v>1085</v>
      </c>
      <c r="U54" t="str">
        <f>IFERROR(+VLOOKUP(H54,'DISPOSITIVOS ACTIVOS'!B:D,3,FALSE),"IPHONE")</f>
        <v>Iphone</v>
      </c>
      <c r="V54" t="str">
        <f>IFERROR(+VLOOKUP(H54,'[1]Migracion feb25 Ver to ATT'!$B:$G,6,FALSE), "NO MIGRADO")</f>
        <v>Iphone</v>
      </c>
      <c r="W54" s="26">
        <v>15</v>
      </c>
    </row>
    <row r="55" spans="1:23" x14ac:dyDescent="0.3">
      <c r="A55" t="s">
        <v>1062</v>
      </c>
      <c r="B55" s="46" t="s">
        <v>22</v>
      </c>
      <c r="C55" s="46" t="s">
        <v>1063</v>
      </c>
      <c r="D55" s="46">
        <v>6</v>
      </c>
      <c r="E55" s="46">
        <v>2025</v>
      </c>
      <c r="F55" s="46">
        <v>9</v>
      </c>
      <c r="G55" s="50" t="s">
        <v>150</v>
      </c>
      <c r="H55" s="37" t="s">
        <v>149</v>
      </c>
      <c r="I55" s="50" t="s">
        <v>386</v>
      </c>
      <c r="J55" s="51" t="s">
        <v>1068</v>
      </c>
      <c r="K55" s="51" t="s">
        <v>527</v>
      </c>
      <c r="L55" s="50" t="s">
        <v>30</v>
      </c>
      <c r="M55" s="51" t="s">
        <v>1072</v>
      </c>
      <c r="N55" s="51" t="s">
        <v>1073</v>
      </c>
      <c r="O55" s="50"/>
      <c r="P55" s="82">
        <v>60.24</v>
      </c>
      <c r="Q55" s="39">
        <v>60311005</v>
      </c>
      <c r="R55" s="46" t="s">
        <v>1065</v>
      </c>
      <c r="S55" s="46" t="s">
        <v>1066</v>
      </c>
      <c r="T55" s="46" t="s">
        <v>1084</v>
      </c>
      <c r="U55" t="str">
        <f>IFERROR(+VLOOKUP(H55,'DISPOSITIVOS ACTIVOS'!B:D,3,FALSE),"IPHONE")</f>
        <v>Iphone</v>
      </c>
      <c r="V55" t="str">
        <f>IFERROR(+VLOOKUP(H55,'[1]Migracion feb25 Ver to ATT'!$B:$G,6,FALSE), "NO MIGRADO")</f>
        <v>Iphone</v>
      </c>
      <c r="W55" s="26">
        <v>15</v>
      </c>
    </row>
    <row r="56" spans="1:23" x14ac:dyDescent="0.3">
      <c r="A56" t="s">
        <v>1062</v>
      </c>
      <c r="B56" s="46" t="s">
        <v>22</v>
      </c>
      <c r="C56" s="46" t="s">
        <v>1063</v>
      </c>
      <c r="D56" s="46">
        <v>6</v>
      </c>
      <c r="E56" s="46">
        <v>2025</v>
      </c>
      <c r="F56" s="46">
        <v>9</v>
      </c>
      <c r="G56" s="47" t="s">
        <v>152</v>
      </c>
      <c r="H56" s="36" t="s">
        <v>151</v>
      </c>
      <c r="I56" s="47" t="s">
        <v>387</v>
      </c>
      <c r="J56" s="47" t="s">
        <v>1068</v>
      </c>
      <c r="K56" s="48" t="s">
        <v>527</v>
      </c>
      <c r="L56" s="48" t="s">
        <v>30</v>
      </c>
      <c r="M56" s="48" t="s">
        <v>1072</v>
      </c>
      <c r="N56" s="48" t="s">
        <v>1073</v>
      </c>
      <c r="O56" s="47"/>
      <c r="P56" s="83">
        <v>60.24</v>
      </c>
      <c r="Q56" s="39">
        <v>60311005</v>
      </c>
      <c r="R56" s="46" t="s">
        <v>1065</v>
      </c>
      <c r="S56" s="46" t="s">
        <v>1066</v>
      </c>
      <c r="T56" s="46" t="s">
        <v>1122</v>
      </c>
      <c r="U56">
        <f>IFERROR(+VLOOKUP(H56,'DISPOSITIVOS ACTIVOS'!B:D,3,FALSE),"IPHONE")</f>
        <v>0</v>
      </c>
      <c r="V56" t="str">
        <f>IFERROR(+VLOOKUP(H56,'[1]Migracion feb25 Ver to ATT'!$B:$G,6,FALSE), "NO MIGRADO")</f>
        <v>Iphone</v>
      </c>
      <c r="W56" s="26">
        <v>15</v>
      </c>
    </row>
    <row r="57" spans="1:23" x14ac:dyDescent="0.3">
      <c r="A57" t="s">
        <v>1062</v>
      </c>
      <c r="B57" s="46" t="s">
        <v>22</v>
      </c>
      <c r="C57" s="46" t="s">
        <v>1063</v>
      </c>
      <c r="D57" s="46">
        <v>6</v>
      </c>
      <c r="E57" s="46">
        <v>2025</v>
      </c>
      <c r="F57" s="46">
        <v>9</v>
      </c>
      <c r="G57" s="50" t="s">
        <v>154</v>
      </c>
      <c r="H57" s="37" t="s">
        <v>153</v>
      </c>
      <c r="I57" s="50" t="s">
        <v>388</v>
      </c>
      <c r="J57" s="51" t="s">
        <v>1123</v>
      </c>
      <c r="K57" s="51" t="s">
        <v>304</v>
      </c>
      <c r="L57" s="50" t="s">
        <v>30</v>
      </c>
      <c r="M57" s="51" t="s">
        <v>1124</v>
      </c>
      <c r="N57" s="51" t="s">
        <v>1125</v>
      </c>
      <c r="O57" s="50"/>
      <c r="P57" s="82">
        <v>62.68</v>
      </c>
      <c r="Q57" s="39">
        <v>60311005</v>
      </c>
      <c r="R57" s="46" t="s">
        <v>1126</v>
      </c>
      <c r="S57" s="46" t="s">
        <v>1127</v>
      </c>
      <c r="T57" s="46" t="s">
        <v>1128</v>
      </c>
      <c r="U57" t="str">
        <f>IFERROR(+VLOOKUP(H57,'DISPOSITIVOS ACTIVOS'!B:D,3,FALSE),"IPHONE")</f>
        <v>Iphone</v>
      </c>
      <c r="V57" t="str">
        <f>IFERROR(+VLOOKUP(H57,'[1]Migracion feb25 Ver to ATT'!$B:$G,6,FALSE), "NO MIGRADO")</f>
        <v>NO MIGRADO</v>
      </c>
      <c r="W57" s="26">
        <v>25</v>
      </c>
    </row>
    <row r="58" spans="1:23" x14ac:dyDescent="0.3">
      <c r="A58" t="s">
        <v>1062</v>
      </c>
      <c r="B58" s="46" t="s">
        <v>22</v>
      </c>
      <c r="C58" s="46" t="s">
        <v>1063</v>
      </c>
      <c r="D58" s="46">
        <v>6</v>
      </c>
      <c r="E58" s="46">
        <v>2025</v>
      </c>
      <c r="F58" s="46">
        <v>9</v>
      </c>
      <c r="G58" s="47" t="s">
        <v>156</v>
      </c>
      <c r="H58" s="36" t="s">
        <v>155</v>
      </c>
      <c r="I58" s="47" t="s">
        <v>389</v>
      </c>
      <c r="J58" s="47" t="s">
        <v>1068</v>
      </c>
      <c r="K58" s="48" t="s">
        <v>304</v>
      </c>
      <c r="L58" s="48" t="s">
        <v>304</v>
      </c>
      <c r="M58" s="48" t="s">
        <v>1069</v>
      </c>
      <c r="N58" s="48" t="s">
        <v>1083</v>
      </c>
      <c r="O58" s="47"/>
      <c r="P58" s="83">
        <v>61.74</v>
      </c>
      <c r="Q58" s="39">
        <v>60311005</v>
      </c>
      <c r="R58" s="46" t="s">
        <v>1079</v>
      </c>
      <c r="S58" s="46" t="s">
        <v>1129</v>
      </c>
      <c r="T58" s="46" t="s">
        <v>1130</v>
      </c>
      <c r="U58" t="str">
        <f>IFERROR(+VLOOKUP(H58,'DISPOSITIVOS ACTIVOS'!B:D,3,FALSE),"IPHONE")</f>
        <v>Iphone</v>
      </c>
      <c r="V58" t="str">
        <f>IFERROR(+VLOOKUP(H58,'[1]Migracion feb25 Ver to ATT'!$B:$G,6,FALSE), "NO MIGRADO")</f>
        <v>NO MIGRADO</v>
      </c>
      <c r="W58" s="26">
        <v>25</v>
      </c>
    </row>
    <row r="59" spans="1:23" x14ac:dyDescent="0.3">
      <c r="A59" t="s">
        <v>1062</v>
      </c>
      <c r="B59" s="46" t="s">
        <v>22</v>
      </c>
      <c r="C59" s="46" t="s">
        <v>1063</v>
      </c>
      <c r="D59" s="46">
        <v>6</v>
      </c>
      <c r="E59" s="46">
        <v>2025</v>
      </c>
      <c r="F59" s="46">
        <v>9</v>
      </c>
      <c r="G59" s="50" t="s">
        <v>158</v>
      </c>
      <c r="H59" s="37" t="s">
        <v>157</v>
      </c>
      <c r="I59" s="50" t="s">
        <v>393</v>
      </c>
      <c r="J59" s="50" t="s">
        <v>1068</v>
      </c>
      <c r="K59" s="51" t="s">
        <v>304</v>
      </c>
      <c r="L59" s="50" t="s">
        <v>30</v>
      </c>
      <c r="M59" s="51" t="s">
        <v>1069</v>
      </c>
      <c r="N59" s="50" t="s">
        <v>1083</v>
      </c>
      <c r="O59" s="50"/>
      <c r="P59" s="82">
        <v>36.74</v>
      </c>
      <c r="Q59" s="39">
        <v>60311005</v>
      </c>
      <c r="R59" s="46" t="s">
        <v>1114</v>
      </c>
      <c r="S59" s="46" t="s">
        <v>1115</v>
      </c>
      <c r="T59" s="46" t="s">
        <v>1116</v>
      </c>
      <c r="U59" t="str">
        <f>IFERROR(+VLOOKUP(H59,'DISPOSITIVOS ACTIVOS'!B:D,3,FALSE),"IPHONE")</f>
        <v>Iphone</v>
      </c>
      <c r="V59" t="str">
        <f>IFERROR(+VLOOKUP(H59,'[1]Migracion feb25 Ver to ATT'!$B:$G,6,FALSE), "NO MIGRADO")</f>
        <v>NO MIGRADO</v>
      </c>
      <c r="W59" s="26">
        <v>25</v>
      </c>
    </row>
    <row r="60" spans="1:23" x14ac:dyDescent="0.3">
      <c r="A60" t="s">
        <v>1062</v>
      </c>
      <c r="B60" s="46" t="s">
        <v>22</v>
      </c>
      <c r="C60" s="46" t="s">
        <v>1063</v>
      </c>
      <c r="D60" s="46">
        <v>6</v>
      </c>
      <c r="E60" s="46">
        <v>2025</v>
      </c>
      <c r="F60" s="46">
        <v>9</v>
      </c>
      <c r="G60" s="47" t="s">
        <v>160</v>
      </c>
      <c r="H60" s="36" t="s">
        <v>159</v>
      </c>
      <c r="I60" s="47" t="s">
        <v>397</v>
      </c>
      <c r="J60" s="47" t="s">
        <v>1131</v>
      </c>
      <c r="K60" s="48" t="s">
        <v>304</v>
      </c>
      <c r="L60" s="47" t="s">
        <v>400</v>
      </c>
      <c r="M60" s="48" t="s">
        <v>1069</v>
      </c>
      <c r="N60" s="48" t="s">
        <v>1083</v>
      </c>
      <c r="O60" s="47"/>
      <c r="P60" s="83">
        <v>50.63</v>
      </c>
      <c r="Q60" s="39">
        <v>60311005</v>
      </c>
      <c r="R60" s="46">
        <v>11</v>
      </c>
      <c r="S60" s="46">
        <v>1100</v>
      </c>
      <c r="T60" s="46">
        <v>110001</v>
      </c>
      <c r="U60" t="str">
        <f>IFERROR(+VLOOKUP(H60,'DISPOSITIVOS ACTIVOS'!B:D,3,FALSE),"IPHONE")</f>
        <v>Iphone</v>
      </c>
      <c r="V60" t="str">
        <f>IFERROR(+VLOOKUP(H60,'[1]Migracion feb25 Ver to ATT'!$B:$G,6,FALSE), "NO MIGRADO")</f>
        <v>NO MIGRADO</v>
      </c>
      <c r="W60" s="26">
        <v>25</v>
      </c>
    </row>
    <row r="61" spans="1:23" x14ac:dyDescent="0.3">
      <c r="A61" t="s">
        <v>1062</v>
      </c>
      <c r="B61" s="46" t="s">
        <v>22</v>
      </c>
      <c r="C61" s="46" t="s">
        <v>1063</v>
      </c>
      <c r="D61" s="46">
        <v>6</v>
      </c>
      <c r="E61" s="46">
        <v>2025</v>
      </c>
      <c r="F61" s="46">
        <v>9</v>
      </c>
      <c r="G61" s="50" t="s">
        <v>162</v>
      </c>
      <c r="H61" s="37" t="s">
        <v>161</v>
      </c>
      <c r="I61" s="50" t="s">
        <v>398</v>
      </c>
      <c r="J61" s="50" t="s">
        <v>1068</v>
      </c>
      <c r="K61" s="51" t="s">
        <v>304</v>
      </c>
      <c r="L61" s="50" t="s">
        <v>288</v>
      </c>
      <c r="M61" s="51" t="s">
        <v>1069</v>
      </c>
      <c r="N61" s="51" t="s">
        <v>1083</v>
      </c>
      <c r="O61" s="50"/>
      <c r="P61" s="82">
        <v>41.74</v>
      </c>
      <c r="Q61" s="39">
        <v>60311005</v>
      </c>
      <c r="R61" s="46" t="s">
        <v>1065</v>
      </c>
      <c r="S61" s="46" t="s">
        <v>1066</v>
      </c>
      <c r="T61" s="46" t="s">
        <v>1067</v>
      </c>
      <c r="U61" t="str">
        <f>IFERROR(+VLOOKUP(H61,'DISPOSITIVOS ACTIVOS'!B:D,3,FALSE),"IPHONE")</f>
        <v>Iphone</v>
      </c>
      <c r="V61" t="str">
        <f>IFERROR(+VLOOKUP(H61,'[1]Migracion feb25 Ver to ATT'!$B:$G,6,FALSE), "NO MIGRADO")</f>
        <v>NO MIGRADO</v>
      </c>
      <c r="W61" s="26">
        <v>25</v>
      </c>
    </row>
    <row r="62" spans="1:23" x14ac:dyDescent="0.3">
      <c r="A62" t="s">
        <v>1062</v>
      </c>
      <c r="B62" s="46" t="s">
        <v>22</v>
      </c>
      <c r="C62" s="46" t="s">
        <v>1063</v>
      </c>
      <c r="D62" s="46">
        <v>6</v>
      </c>
      <c r="E62" s="46">
        <v>2025</v>
      </c>
      <c r="F62" s="46">
        <v>9</v>
      </c>
      <c r="G62" s="47" t="s">
        <v>403</v>
      </c>
      <c r="H62" s="36" t="s">
        <v>163</v>
      </c>
      <c r="I62" s="47" t="s">
        <v>402</v>
      </c>
      <c r="J62" s="47" t="s">
        <v>30</v>
      </c>
      <c r="K62" s="48" t="s">
        <v>297</v>
      </c>
      <c r="L62" s="47" t="s">
        <v>30</v>
      </c>
      <c r="M62" s="48" t="s">
        <v>264</v>
      </c>
      <c r="N62" s="48" t="s">
        <v>30</v>
      </c>
      <c r="O62" s="47"/>
      <c r="P62" s="83">
        <v>18.75</v>
      </c>
      <c r="Q62" s="39">
        <v>60311003</v>
      </c>
      <c r="R62" s="46" t="s">
        <v>1065</v>
      </c>
      <c r="S62" s="46" t="s">
        <v>1066</v>
      </c>
      <c r="T62" s="46" t="s">
        <v>1084</v>
      </c>
      <c r="U62" t="str">
        <f>IFERROR(+VLOOKUP(H62,'DISPOSITIVOS ACTIVOS'!B:D,3,FALSE),"IPHONE")</f>
        <v>Ipad</v>
      </c>
      <c r="V62" t="str">
        <f>IFERROR(+VLOOKUP(H62,'[1]Migracion feb25 Ver to ATT'!$B:$G,6,FALSE), "NO MIGRADO")</f>
        <v>NO MIGRADO</v>
      </c>
      <c r="W62" s="26">
        <v>15</v>
      </c>
    </row>
    <row r="63" spans="1:23" x14ac:dyDescent="0.3">
      <c r="A63" t="s">
        <v>1062</v>
      </c>
      <c r="B63" s="46" t="s">
        <v>22</v>
      </c>
      <c r="C63" s="46" t="s">
        <v>1063</v>
      </c>
      <c r="D63" s="46">
        <v>6</v>
      </c>
      <c r="E63" s="46">
        <v>2025</v>
      </c>
      <c r="F63" s="46">
        <v>9</v>
      </c>
      <c r="G63" s="50" t="s">
        <v>166</v>
      </c>
      <c r="H63" s="37" t="s">
        <v>165</v>
      </c>
      <c r="I63" s="50" t="s">
        <v>404</v>
      </c>
      <c r="J63" s="51" t="s">
        <v>1091</v>
      </c>
      <c r="K63" s="51" t="s">
        <v>527</v>
      </c>
      <c r="L63" s="50" t="s">
        <v>30</v>
      </c>
      <c r="M63" s="51" t="s">
        <v>1092</v>
      </c>
      <c r="N63" s="51" t="s">
        <v>1093</v>
      </c>
      <c r="O63" s="50"/>
      <c r="P63" s="82">
        <v>50.66</v>
      </c>
      <c r="Q63" s="39">
        <v>60311005</v>
      </c>
      <c r="R63" s="46" t="s">
        <v>1079</v>
      </c>
      <c r="S63" s="46" t="s">
        <v>1080</v>
      </c>
      <c r="T63" s="46" t="s">
        <v>1104</v>
      </c>
      <c r="U63" t="str">
        <f>IFERROR(+VLOOKUP(H63,'DISPOSITIVOS ACTIVOS'!B:D,3,FALSE),"IPHONE")</f>
        <v xml:space="preserve">Galaxy </v>
      </c>
      <c r="V63" t="str">
        <f>IFERROR(+VLOOKUP(H63,'[1]Migracion feb25 Ver to ATT'!$B:$G,6,FALSE), "NO MIGRADO")</f>
        <v xml:space="preserve">Galaxy </v>
      </c>
      <c r="W63" s="26">
        <v>15</v>
      </c>
    </row>
    <row r="64" spans="1:23" x14ac:dyDescent="0.3">
      <c r="A64" t="s">
        <v>1062</v>
      </c>
      <c r="B64" s="46" t="s">
        <v>22</v>
      </c>
      <c r="C64" s="46" t="s">
        <v>1063</v>
      </c>
      <c r="D64" s="46">
        <v>6</v>
      </c>
      <c r="E64" s="46">
        <v>2025</v>
      </c>
      <c r="F64" s="46">
        <v>9</v>
      </c>
      <c r="G64" s="47" t="s">
        <v>168</v>
      </c>
      <c r="H64" s="36" t="s">
        <v>167</v>
      </c>
      <c r="I64" s="47" t="s">
        <v>405</v>
      </c>
      <c r="J64" s="47" t="s">
        <v>1091</v>
      </c>
      <c r="K64" s="48" t="s">
        <v>527</v>
      </c>
      <c r="L64" s="48" t="s">
        <v>30</v>
      </c>
      <c r="M64" s="48" t="s">
        <v>1092</v>
      </c>
      <c r="N64" s="48" t="s">
        <v>1093</v>
      </c>
      <c r="O64" s="47"/>
      <c r="P64" s="83">
        <v>50.66</v>
      </c>
      <c r="Q64" s="39">
        <v>60311005</v>
      </c>
      <c r="R64" s="46" t="s">
        <v>1079</v>
      </c>
      <c r="S64" s="46" t="s">
        <v>1080</v>
      </c>
      <c r="T64" s="46" t="s">
        <v>1097</v>
      </c>
      <c r="U64" t="str">
        <f>IFERROR(+VLOOKUP(H64,'DISPOSITIVOS ACTIVOS'!B:D,3,FALSE),"IPHONE")</f>
        <v xml:space="preserve">Galaxy </v>
      </c>
      <c r="V64" t="str">
        <f>IFERROR(+VLOOKUP(H64,'[1]Migracion feb25 Ver to ATT'!$B:$G,6,FALSE), "NO MIGRADO")</f>
        <v xml:space="preserve">Galaxy </v>
      </c>
      <c r="W64" s="26">
        <v>15</v>
      </c>
    </row>
    <row r="65" spans="1:23" x14ac:dyDescent="0.3">
      <c r="A65" t="s">
        <v>1062</v>
      </c>
      <c r="B65" s="46" t="s">
        <v>22</v>
      </c>
      <c r="C65" s="46" t="s">
        <v>1063</v>
      </c>
      <c r="D65" s="46">
        <v>6</v>
      </c>
      <c r="E65" s="46">
        <v>2025</v>
      </c>
      <c r="F65" s="46">
        <v>9</v>
      </c>
      <c r="G65" s="50" t="s">
        <v>170</v>
      </c>
      <c r="H65" s="37" t="s">
        <v>169</v>
      </c>
      <c r="I65" s="50" t="s">
        <v>406</v>
      </c>
      <c r="J65" s="51" t="s">
        <v>1091</v>
      </c>
      <c r="K65" s="51" t="s">
        <v>527</v>
      </c>
      <c r="L65" s="50" t="s">
        <v>30</v>
      </c>
      <c r="M65" s="51" t="s">
        <v>1092</v>
      </c>
      <c r="N65" s="51" t="s">
        <v>1132</v>
      </c>
      <c r="O65" s="50"/>
      <c r="P65" s="82">
        <v>50.71</v>
      </c>
      <c r="Q65" s="39">
        <v>60311005</v>
      </c>
      <c r="R65" s="46" t="s">
        <v>1065</v>
      </c>
      <c r="S65" s="46" t="s">
        <v>1066</v>
      </c>
      <c r="T65" s="46" t="s">
        <v>1067</v>
      </c>
      <c r="U65" t="str">
        <f>IFERROR(+VLOOKUP(H65,'DISPOSITIVOS ACTIVOS'!B:D,3,FALSE),"IPHONE")</f>
        <v>Iphone</v>
      </c>
      <c r="V65" t="str">
        <f>IFERROR(+VLOOKUP(H65,'[1]Migracion feb25 Ver to ATT'!$B:$G,6,FALSE), "NO MIGRADO")</f>
        <v>Iphone</v>
      </c>
      <c r="W65" s="26">
        <v>15</v>
      </c>
    </row>
    <row r="66" spans="1:23" x14ac:dyDescent="0.3">
      <c r="A66" t="s">
        <v>1062</v>
      </c>
      <c r="B66" s="46" t="s">
        <v>22</v>
      </c>
      <c r="C66" s="46" t="s">
        <v>1063</v>
      </c>
      <c r="D66" s="46">
        <v>6</v>
      </c>
      <c r="E66" s="46">
        <v>2025</v>
      </c>
      <c r="F66" s="46">
        <v>9</v>
      </c>
      <c r="G66" s="47" t="s">
        <v>172</v>
      </c>
      <c r="H66" s="36" t="s">
        <v>171</v>
      </c>
      <c r="I66" s="47" t="s">
        <v>407</v>
      </c>
      <c r="J66" s="47" t="s">
        <v>1068</v>
      </c>
      <c r="K66" s="48" t="s">
        <v>304</v>
      </c>
      <c r="L66" s="48" t="s">
        <v>30</v>
      </c>
      <c r="M66" s="48" t="s">
        <v>1069</v>
      </c>
      <c r="N66" s="48" t="s">
        <v>1083</v>
      </c>
      <c r="O66" s="47"/>
      <c r="P66" s="83">
        <v>36.74</v>
      </c>
      <c r="Q66" s="39">
        <v>60311005</v>
      </c>
      <c r="R66" s="46" t="s">
        <v>1065</v>
      </c>
      <c r="S66" s="46" t="s">
        <v>1066</v>
      </c>
      <c r="T66" s="46" t="s">
        <v>1084</v>
      </c>
      <c r="U66" t="str">
        <f>IFERROR(+VLOOKUP(H66,'DISPOSITIVOS ACTIVOS'!B:D,3,FALSE),"IPHONE")</f>
        <v>Iphone</v>
      </c>
      <c r="V66" t="str">
        <f>IFERROR(+VLOOKUP(H66,'[1]Migracion feb25 Ver to ATT'!$B:$G,6,FALSE), "NO MIGRADO")</f>
        <v>NO MIGRADO</v>
      </c>
      <c r="W66" s="26">
        <v>25</v>
      </c>
    </row>
    <row r="67" spans="1:23" x14ac:dyDescent="0.3">
      <c r="A67" t="s">
        <v>1062</v>
      </c>
      <c r="B67" s="46" t="s">
        <v>22</v>
      </c>
      <c r="C67" s="46" t="s">
        <v>1063</v>
      </c>
      <c r="D67" s="46">
        <v>6</v>
      </c>
      <c r="E67" s="46">
        <v>2025</v>
      </c>
      <c r="F67" s="46">
        <v>9</v>
      </c>
      <c r="G67" s="50" t="s">
        <v>418</v>
      </c>
      <c r="H67" s="37" t="s">
        <v>417</v>
      </c>
      <c r="I67" s="50" t="s">
        <v>408</v>
      </c>
      <c r="J67" s="50" t="s">
        <v>30</v>
      </c>
      <c r="K67" s="51" t="s">
        <v>297</v>
      </c>
      <c r="L67" s="50" t="s">
        <v>30</v>
      </c>
      <c r="M67" s="51" t="s">
        <v>264</v>
      </c>
      <c r="N67" s="50" t="s">
        <v>30</v>
      </c>
      <c r="O67" s="50"/>
      <c r="P67" s="82">
        <v>18.75</v>
      </c>
      <c r="Q67" s="39">
        <v>60311003</v>
      </c>
      <c r="R67" s="46" t="s">
        <v>1065</v>
      </c>
      <c r="S67" s="46" t="s">
        <v>1066</v>
      </c>
      <c r="T67" s="46" t="s">
        <v>1067</v>
      </c>
      <c r="U67" t="str">
        <f>IFERROR(+VLOOKUP(H67,'DISPOSITIVOS ACTIVOS'!B:D,3,FALSE),"IPHONE")</f>
        <v>Ipad</v>
      </c>
      <c r="V67" t="str">
        <f>IFERROR(+VLOOKUP(H67,'[1]Migracion feb25 Ver to ATT'!$B:$G,6,FALSE), "NO MIGRADO")</f>
        <v>NO MIGRADO</v>
      </c>
      <c r="W67" s="26">
        <v>15</v>
      </c>
    </row>
    <row r="68" spans="1:23" x14ac:dyDescent="0.3">
      <c r="A68" t="s">
        <v>1062</v>
      </c>
      <c r="B68" s="46" t="s">
        <v>22</v>
      </c>
      <c r="C68" s="46" t="s">
        <v>1063</v>
      </c>
      <c r="D68" s="46">
        <v>6</v>
      </c>
      <c r="E68" s="46">
        <v>2025</v>
      </c>
      <c r="F68" s="46">
        <v>9</v>
      </c>
      <c r="G68" s="47" t="s">
        <v>422</v>
      </c>
      <c r="H68" s="36" t="s">
        <v>421</v>
      </c>
      <c r="I68" s="47" t="s">
        <v>411</v>
      </c>
      <c r="J68" s="47" t="s">
        <v>1133</v>
      </c>
      <c r="K68" s="48" t="s">
        <v>297</v>
      </c>
      <c r="L68" s="47" t="s">
        <v>30</v>
      </c>
      <c r="M68" s="48" t="s">
        <v>264</v>
      </c>
      <c r="N68" s="48" t="s">
        <v>30</v>
      </c>
      <c r="O68" s="47"/>
      <c r="P68" s="83">
        <v>17.36</v>
      </c>
      <c r="Q68" s="39">
        <v>10145005</v>
      </c>
      <c r="R68" s="46"/>
      <c r="S68" s="46"/>
      <c r="T68" s="46"/>
      <c r="U68">
        <f>IFERROR(+VLOOKUP(H68,'DISPOSITIVOS ACTIVOS'!B:D,3,FALSE),"IPHONE")</f>
        <v>0</v>
      </c>
      <c r="V68" t="str">
        <f>IFERROR(+VLOOKUP(H68,'[1]Migracion feb25 Ver to ATT'!$B:$G,6,FALSE), "NO MIGRADO")</f>
        <v>NO MIGRADO</v>
      </c>
      <c r="W68" s="26">
        <v>25</v>
      </c>
    </row>
    <row r="69" spans="1:23" x14ac:dyDescent="0.3">
      <c r="A69" t="s">
        <v>1062</v>
      </c>
      <c r="B69" s="46" t="s">
        <v>22</v>
      </c>
      <c r="C69" s="46" t="s">
        <v>1063</v>
      </c>
      <c r="D69" s="46">
        <v>6</v>
      </c>
      <c r="E69" s="46">
        <v>2025</v>
      </c>
      <c r="F69" s="46">
        <v>9</v>
      </c>
      <c r="G69" s="50" t="s">
        <v>174</v>
      </c>
      <c r="H69" s="37" t="s">
        <v>173</v>
      </c>
      <c r="I69" s="50" t="s">
        <v>416</v>
      </c>
      <c r="J69" s="50" t="s">
        <v>1068</v>
      </c>
      <c r="K69" s="51" t="s">
        <v>304</v>
      </c>
      <c r="L69" s="50" t="s">
        <v>288</v>
      </c>
      <c r="M69" s="51" t="s">
        <v>1069</v>
      </c>
      <c r="N69" s="51" t="s">
        <v>1083</v>
      </c>
      <c r="O69" s="50"/>
      <c r="P69" s="82">
        <v>41.74</v>
      </c>
      <c r="Q69" s="39">
        <v>60311005</v>
      </c>
      <c r="R69" s="46" t="s">
        <v>1065</v>
      </c>
      <c r="S69" s="46" t="s">
        <v>1066</v>
      </c>
      <c r="T69" s="46" t="s">
        <v>1067</v>
      </c>
      <c r="U69" t="str">
        <f>IFERROR(+VLOOKUP(H69,'DISPOSITIVOS ACTIVOS'!B:D,3,FALSE),"IPHONE")</f>
        <v>Iphone</v>
      </c>
      <c r="V69" t="str">
        <f>IFERROR(+VLOOKUP(H69,'[1]Migracion feb25 Ver to ATT'!$B:$G,6,FALSE), "NO MIGRADO")</f>
        <v>NO MIGRADO</v>
      </c>
      <c r="W69" s="26">
        <v>25</v>
      </c>
    </row>
    <row r="70" spans="1:23" x14ac:dyDescent="0.3">
      <c r="A70" t="s">
        <v>1062</v>
      </c>
      <c r="B70" s="46" t="s">
        <v>22</v>
      </c>
      <c r="C70" s="46" t="s">
        <v>1063</v>
      </c>
      <c r="D70" s="46">
        <v>6</v>
      </c>
      <c r="E70" s="46">
        <v>2025</v>
      </c>
      <c r="F70" s="46">
        <v>9</v>
      </c>
      <c r="G70" s="47" t="s">
        <v>176</v>
      </c>
      <c r="H70" s="36" t="s">
        <v>175</v>
      </c>
      <c r="I70" s="47" t="s">
        <v>419</v>
      </c>
      <c r="J70" s="47" t="s">
        <v>1091</v>
      </c>
      <c r="K70" s="48" t="s">
        <v>527</v>
      </c>
      <c r="L70" s="47" t="s">
        <v>30</v>
      </c>
      <c r="M70" s="48" t="s">
        <v>1092</v>
      </c>
      <c r="N70" s="48" t="s">
        <v>1093</v>
      </c>
      <c r="O70" s="47"/>
      <c r="P70" s="83">
        <v>50.66</v>
      </c>
      <c r="Q70" s="39">
        <v>60311005</v>
      </c>
      <c r="R70" s="46" t="s">
        <v>1079</v>
      </c>
      <c r="S70" s="46" t="s">
        <v>1080</v>
      </c>
      <c r="T70" s="46" t="s">
        <v>1097</v>
      </c>
      <c r="U70" t="str">
        <f>IFERROR(+VLOOKUP(H70,'DISPOSITIVOS ACTIVOS'!B:D,3,FALSE),"IPHONE")</f>
        <v xml:space="preserve">Galaxy </v>
      </c>
      <c r="V70" t="str">
        <f>IFERROR(+VLOOKUP(H70,'[1]Migracion feb25 Ver to ATT'!$B:$G,6,FALSE), "NO MIGRADO")</f>
        <v xml:space="preserve">Galaxy </v>
      </c>
      <c r="W70" s="26">
        <v>15</v>
      </c>
    </row>
    <row r="71" spans="1:23" x14ac:dyDescent="0.3">
      <c r="A71" t="s">
        <v>1062</v>
      </c>
      <c r="B71" s="46" t="s">
        <v>22</v>
      </c>
      <c r="C71" s="46" t="s">
        <v>1063</v>
      </c>
      <c r="D71" s="46">
        <v>6</v>
      </c>
      <c r="E71" s="46">
        <v>2025</v>
      </c>
      <c r="F71" s="46">
        <v>9</v>
      </c>
      <c r="G71" s="50" t="s">
        <v>178</v>
      </c>
      <c r="H71" s="37" t="s">
        <v>177</v>
      </c>
      <c r="I71" s="50" t="s">
        <v>423</v>
      </c>
      <c r="J71" s="51" t="s">
        <v>1091</v>
      </c>
      <c r="K71" s="51" t="s">
        <v>527</v>
      </c>
      <c r="L71" s="50" t="s">
        <v>30</v>
      </c>
      <c r="M71" s="51" t="s">
        <v>1092</v>
      </c>
      <c r="N71" s="51" t="s">
        <v>1132</v>
      </c>
      <c r="O71" s="50"/>
      <c r="P71" s="82">
        <v>50.71</v>
      </c>
      <c r="Q71" s="39">
        <v>60311005</v>
      </c>
      <c r="R71" s="46" t="s">
        <v>1114</v>
      </c>
      <c r="S71" s="46" t="s">
        <v>1115</v>
      </c>
      <c r="T71" s="46" t="s">
        <v>1116</v>
      </c>
      <c r="U71" t="str">
        <f>IFERROR(+VLOOKUP(H71,'DISPOSITIVOS ACTIVOS'!B:D,3,FALSE),"IPHONE")</f>
        <v>Iphone</v>
      </c>
      <c r="V71" t="str">
        <f>IFERROR(+VLOOKUP(H71,'[1]Migracion feb25 Ver to ATT'!$B:$G,6,FALSE), "NO MIGRADO")</f>
        <v>NO MIGRADO</v>
      </c>
      <c r="W71" s="26">
        <v>25</v>
      </c>
    </row>
    <row r="72" spans="1:23" x14ac:dyDescent="0.3">
      <c r="A72" t="s">
        <v>1062</v>
      </c>
      <c r="B72" s="46" t="s">
        <v>22</v>
      </c>
      <c r="C72" s="46" t="s">
        <v>1063</v>
      </c>
      <c r="D72" s="46">
        <v>6</v>
      </c>
      <c r="E72" s="46">
        <v>2025</v>
      </c>
      <c r="F72" s="46">
        <v>9</v>
      </c>
      <c r="G72" s="47" t="s">
        <v>180</v>
      </c>
      <c r="H72" s="36" t="s">
        <v>179</v>
      </c>
      <c r="I72" s="47" t="s">
        <v>425</v>
      </c>
      <c r="J72" s="47" t="s">
        <v>1091</v>
      </c>
      <c r="K72" s="48" t="s">
        <v>527</v>
      </c>
      <c r="L72" s="48" t="s">
        <v>30</v>
      </c>
      <c r="M72" s="48" t="s">
        <v>1092</v>
      </c>
      <c r="N72" s="48" t="s">
        <v>1132</v>
      </c>
      <c r="O72" s="47"/>
      <c r="P72" s="83">
        <v>50.71</v>
      </c>
      <c r="Q72" s="39">
        <v>60311005</v>
      </c>
      <c r="R72" s="46" t="s">
        <v>1065</v>
      </c>
      <c r="S72" s="46" t="s">
        <v>1066</v>
      </c>
      <c r="T72" s="46" t="s">
        <v>1067</v>
      </c>
      <c r="U72" t="str">
        <f>IFERROR(+VLOOKUP(H72,'DISPOSITIVOS ACTIVOS'!B:D,3,FALSE),"IPHONE")</f>
        <v>Iphone</v>
      </c>
      <c r="V72" t="str">
        <f>IFERROR(+VLOOKUP(H72,'[1]Migracion feb25 Ver to ATT'!$B:$G,6,FALSE), "NO MIGRADO")</f>
        <v>Iphone</v>
      </c>
      <c r="W72" s="26">
        <v>15</v>
      </c>
    </row>
    <row r="73" spans="1:23" x14ac:dyDescent="0.3">
      <c r="A73" t="s">
        <v>1062</v>
      </c>
      <c r="B73" s="46" t="s">
        <v>22</v>
      </c>
      <c r="C73" s="46" t="s">
        <v>1063</v>
      </c>
      <c r="D73" s="46">
        <v>6</v>
      </c>
      <c r="E73" s="46">
        <v>2025</v>
      </c>
      <c r="F73" s="46">
        <v>9</v>
      </c>
      <c r="G73" s="50" t="s">
        <v>182</v>
      </c>
      <c r="H73" s="37" t="s">
        <v>181</v>
      </c>
      <c r="I73" s="50" t="s">
        <v>426</v>
      </c>
      <c r="J73" s="51" t="s">
        <v>1091</v>
      </c>
      <c r="K73" s="51" t="s">
        <v>527</v>
      </c>
      <c r="L73" s="50" t="s">
        <v>30</v>
      </c>
      <c r="M73" s="51" t="s">
        <v>1092</v>
      </c>
      <c r="N73" s="51" t="s">
        <v>1132</v>
      </c>
      <c r="O73" s="50"/>
      <c r="P73" s="82">
        <v>50.71</v>
      </c>
      <c r="Q73" s="39">
        <v>60311005</v>
      </c>
      <c r="R73" s="46" t="s">
        <v>1065</v>
      </c>
      <c r="S73" s="46" t="s">
        <v>1066</v>
      </c>
      <c r="T73" s="46" t="s">
        <v>1071</v>
      </c>
      <c r="U73" t="str">
        <f>IFERROR(+VLOOKUP(H73,'DISPOSITIVOS ACTIVOS'!B:D,3,FALSE),"IPHONE")</f>
        <v>Iphone</v>
      </c>
      <c r="V73" t="str">
        <f>IFERROR(+VLOOKUP(H73,'[1]Migracion feb25 Ver to ATT'!$B:$G,6,FALSE), "NO MIGRADO")</f>
        <v>Iphone</v>
      </c>
      <c r="W73" s="26">
        <v>15</v>
      </c>
    </row>
    <row r="74" spans="1:23" x14ac:dyDescent="0.3">
      <c r="A74" t="s">
        <v>1062</v>
      </c>
      <c r="B74" s="46" t="s">
        <v>22</v>
      </c>
      <c r="C74" s="46" t="s">
        <v>1063</v>
      </c>
      <c r="D74" s="46">
        <v>6</v>
      </c>
      <c r="E74" s="46">
        <v>2025</v>
      </c>
      <c r="F74" s="46">
        <v>9</v>
      </c>
      <c r="G74" s="47" t="s">
        <v>184</v>
      </c>
      <c r="H74" s="36" t="s">
        <v>183</v>
      </c>
      <c r="I74" s="47" t="s">
        <v>427</v>
      </c>
      <c r="J74" s="47" t="s">
        <v>1091</v>
      </c>
      <c r="K74" s="48" t="s">
        <v>527</v>
      </c>
      <c r="L74" s="48" t="s">
        <v>30</v>
      </c>
      <c r="M74" s="48" t="s">
        <v>1092</v>
      </c>
      <c r="N74" s="48" t="s">
        <v>1132</v>
      </c>
      <c r="O74" s="47"/>
      <c r="P74" s="83">
        <v>50.71</v>
      </c>
      <c r="Q74" s="39">
        <v>60311005</v>
      </c>
      <c r="R74" s="46" t="s">
        <v>1065</v>
      </c>
      <c r="S74" s="46" t="s">
        <v>1066</v>
      </c>
      <c r="T74" s="46" t="s">
        <v>1084</v>
      </c>
      <c r="U74" t="str">
        <f>IFERROR(+VLOOKUP(H74,'DISPOSITIVOS ACTIVOS'!B:D,3,FALSE),"IPHONE")</f>
        <v>Iphone</v>
      </c>
      <c r="V74" t="str">
        <f>IFERROR(+VLOOKUP(H74,'[1]Migracion feb25 Ver to ATT'!$B:$G,6,FALSE), "NO MIGRADO")</f>
        <v>Iphone</v>
      </c>
      <c r="W74" s="26">
        <v>15</v>
      </c>
    </row>
    <row r="75" spans="1:23" x14ac:dyDescent="0.3">
      <c r="A75" t="s">
        <v>1062</v>
      </c>
      <c r="B75" s="46" t="s">
        <v>22</v>
      </c>
      <c r="C75" s="46" t="s">
        <v>1063</v>
      </c>
      <c r="D75" s="46">
        <v>6</v>
      </c>
      <c r="E75" s="46">
        <v>2025</v>
      </c>
      <c r="F75" s="46">
        <v>9</v>
      </c>
      <c r="G75" s="50" t="s">
        <v>186</v>
      </c>
      <c r="H75" s="37" t="s">
        <v>185</v>
      </c>
      <c r="I75" s="50" t="s">
        <v>431</v>
      </c>
      <c r="J75" s="50" t="s">
        <v>1091</v>
      </c>
      <c r="K75" s="51" t="s">
        <v>527</v>
      </c>
      <c r="L75" s="50" t="s">
        <v>30</v>
      </c>
      <c r="M75" s="51" t="s">
        <v>1092</v>
      </c>
      <c r="N75" s="50" t="s">
        <v>1093</v>
      </c>
      <c r="O75" s="50"/>
      <c r="P75" s="82">
        <v>50.66</v>
      </c>
      <c r="Q75" s="39">
        <v>60311005</v>
      </c>
      <c r="R75" s="46" t="s">
        <v>1079</v>
      </c>
      <c r="S75" s="46" t="s">
        <v>1080</v>
      </c>
      <c r="T75" s="46" t="s">
        <v>1097</v>
      </c>
      <c r="U75" t="str">
        <f>IFERROR(+VLOOKUP(H75,'DISPOSITIVOS ACTIVOS'!B:D,3,FALSE),"IPHONE")</f>
        <v xml:space="preserve">Galaxy </v>
      </c>
      <c r="V75" t="str">
        <f>IFERROR(+VLOOKUP(H75,'[1]Migracion feb25 Ver to ATT'!$B:$G,6,FALSE), "NO MIGRADO")</f>
        <v xml:space="preserve">Galaxy </v>
      </c>
      <c r="W75" s="26">
        <v>15</v>
      </c>
    </row>
    <row r="76" spans="1:23" x14ac:dyDescent="0.3">
      <c r="A76" t="s">
        <v>1062</v>
      </c>
      <c r="B76" s="46" t="s">
        <v>22</v>
      </c>
      <c r="C76" s="46" t="s">
        <v>1063</v>
      </c>
      <c r="D76" s="46">
        <v>6</v>
      </c>
      <c r="E76" s="46">
        <v>2025</v>
      </c>
      <c r="F76" s="46">
        <v>9</v>
      </c>
      <c r="G76" s="47" t="s">
        <v>188</v>
      </c>
      <c r="H76" s="36" t="s">
        <v>187</v>
      </c>
      <c r="I76" s="47" t="s">
        <v>434</v>
      </c>
      <c r="J76" s="47" t="s">
        <v>1068</v>
      </c>
      <c r="K76" s="48" t="s">
        <v>304</v>
      </c>
      <c r="L76" s="47" t="s">
        <v>30</v>
      </c>
      <c r="M76" s="48" t="s">
        <v>1069</v>
      </c>
      <c r="N76" s="48" t="s">
        <v>1083</v>
      </c>
      <c r="O76" s="47"/>
      <c r="P76" s="83">
        <v>36.74</v>
      </c>
      <c r="Q76" s="39">
        <v>60311005</v>
      </c>
      <c r="R76" s="46" t="s">
        <v>1079</v>
      </c>
      <c r="S76" s="46" t="s">
        <v>1080</v>
      </c>
      <c r="T76" s="46" t="s">
        <v>1134</v>
      </c>
      <c r="U76" t="str">
        <f>IFERROR(+VLOOKUP(H76,'DISPOSITIVOS ACTIVOS'!B:D,3,FALSE),"IPHONE")</f>
        <v>Galaxy</v>
      </c>
      <c r="V76" t="str">
        <f>IFERROR(+VLOOKUP(H76,'[1]Migracion feb25 Ver to ATT'!$B:$G,6,FALSE), "NO MIGRADO")</f>
        <v>NO MIGRADO</v>
      </c>
      <c r="W76" s="26">
        <v>25</v>
      </c>
    </row>
    <row r="77" spans="1:23" x14ac:dyDescent="0.3">
      <c r="A77" t="s">
        <v>1062</v>
      </c>
      <c r="B77" s="46" t="s">
        <v>22</v>
      </c>
      <c r="C77" s="46" t="s">
        <v>1063</v>
      </c>
      <c r="D77" s="46">
        <v>6</v>
      </c>
      <c r="E77" s="46">
        <v>2025</v>
      </c>
      <c r="F77" s="46">
        <v>9</v>
      </c>
      <c r="G77" s="50" t="s">
        <v>190</v>
      </c>
      <c r="H77" s="37" t="s">
        <v>189</v>
      </c>
      <c r="I77" s="50" t="s">
        <v>435</v>
      </c>
      <c r="J77" s="50" t="s">
        <v>1091</v>
      </c>
      <c r="K77" s="51" t="s">
        <v>527</v>
      </c>
      <c r="L77" s="50" t="s">
        <v>30</v>
      </c>
      <c r="M77" s="51" t="s">
        <v>1092</v>
      </c>
      <c r="N77" s="51" t="s">
        <v>1132</v>
      </c>
      <c r="O77" s="50"/>
      <c r="P77" s="82">
        <v>50.71</v>
      </c>
      <c r="Q77" s="39">
        <v>60311005</v>
      </c>
      <c r="R77" s="46" t="s">
        <v>1065</v>
      </c>
      <c r="S77" s="46" t="s">
        <v>1100</v>
      </c>
      <c r="T77" s="46" t="s">
        <v>1101</v>
      </c>
      <c r="U77">
        <f>IFERROR(+VLOOKUP(H77,'DISPOSITIVOS ACTIVOS'!B:D,3,FALSE),"IPHONE")</f>
        <v>0</v>
      </c>
      <c r="V77" t="str">
        <f>IFERROR(+VLOOKUP(H77,'[1]Migracion feb25 Ver to ATT'!$B:$G,6,FALSE), "NO MIGRADO")</f>
        <v>Iphone</v>
      </c>
      <c r="W77" s="26">
        <v>15</v>
      </c>
    </row>
    <row r="78" spans="1:23" x14ac:dyDescent="0.3">
      <c r="A78" t="s">
        <v>1062</v>
      </c>
      <c r="B78" s="46" t="s">
        <v>22</v>
      </c>
      <c r="C78" s="46" t="s">
        <v>1063</v>
      </c>
      <c r="D78" s="46">
        <v>6</v>
      </c>
      <c r="E78" s="46">
        <v>2025</v>
      </c>
      <c r="F78" s="46">
        <v>9</v>
      </c>
      <c r="G78" s="47" t="s">
        <v>166</v>
      </c>
      <c r="H78" s="36" t="s">
        <v>192</v>
      </c>
      <c r="I78" s="47" t="s">
        <v>436</v>
      </c>
      <c r="J78" s="47" t="s">
        <v>1091</v>
      </c>
      <c r="K78" s="48" t="s">
        <v>527</v>
      </c>
      <c r="L78" s="47" t="s">
        <v>30</v>
      </c>
      <c r="M78" s="48" t="s">
        <v>1092</v>
      </c>
      <c r="N78" s="48" t="s">
        <v>1093</v>
      </c>
      <c r="O78" s="47"/>
      <c r="P78" s="83">
        <v>50.66</v>
      </c>
      <c r="Q78" s="39">
        <v>60311005</v>
      </c>
      <c r="R78" s="46" t="s">
        <v>1079</v>
      </c>
      <c r="S78" s="46" t="s">
        <v>1080</v>
      </c>
      <c r="T78" s="46" t="s">
        <v>1097</v>
      </c>
      <c r="U78" t="str">
        <f>IFERROR(+VLOOKUP(H78,'DISPOSITIVOS ACTIVOS'!B:D,3,FALSE),"IPHONE")</f>
        <v xml:space="preserve">Galaxy </v>
      </c>
      <c r="V78" t="str">
        <f>IFERROR(+VLOOKUP(H78,'[1]Migracion feb25 Ver to ATT'!$B:$G,6,FALSE), "NO MIGRADO")</f>
        <v xml:space="preserve">Galaxy </v>
      </c>
      <c r="W78" s="26">
        <v>15</v>
      </c>
    </row>
    <row r="79" spans="1:23" x14ac:dyDescent="0.3">
      <c r="A79" t="s">
        <v>1062</v>
      </c>
      <c r="B79" s="46" t="s">
        <v>22</v>
      </c>
      <c r="C79" s="46" t="s">
        <v>1063</v>
      </c>
      <c r="D79" s="46">
        <v>6</v>
      </c>
      <c r="E79" s="46">
        <v>2025</v>
      </c>
      <c r="F79" s="46">
        <v>9</v>
      </c>
      <c r="G79" s="50" t="s">
        <v>196</v>
      </c>
      <c r="H79" s="37" t="s">
        <v>195</v>
      </c>
      <c r="I79" s="50" t="s">
        <v>437</v>
      </c>
      <c r="J79" s="51" t="s">
        <v>1091</v>
      </c>
      <c r="K79" s="51" t="s">
        <v>527</v>
      </c>
      <c r="L79" s="50" t="s">
        <v>30</v>
      </c>
      <c r="M79" s="51" t="s">
        <v>1092</v>
      </c>
      <c r="N79" s="51" t="s">
        <v>1093</v>
      </c>
      <c r="O79" s="50"/>
      <c r="P79" s="82">
        <v>50.66</v>
      </c>
      <c r="Q79" s="39">
        <v>60311005</v>
      </c>
      <c r="R79" s="46" t="s">
        <v>1079</v>
      </c>
      <c r="S79" s="46" t="s">
        <v>1080</v>
      </c>
      <c r="T79" s="46" t="s">
        <v>1134</v>
      </c>
      <c r="U79" t="str">
        <f>IFERROR(+VLOOKUP(H79,'DISPOSITIVOS ACTIVOS'!B:D,3,FALSE),"IPHONE")</f>
        <v xml:space="preserve">Galaxy </v>
      </c>
      <c r="V79" t="str">
        <f>IFERROR(+VLOOKUP(H79,'[1]Migracion feb25 Ver to ATT'!$B:$G,6,FALSE), "NO MIGRADO")</f>
        <v xml:space="preserve">Galaxy </v>
      </c>
      <c r="W79" s="26">
        <v>15</v>
      </c>
    </row>
    <row r="80" spans="1:23" x14ac:dyDescent="0.3">
      <c r="A80" t="s">
        <v>1062</v>
      </c>
      <c r="B80" s="46" t="s">
        <v>22</v>
      </c>
      <c r="C80" s="46" t="s">
        <v>1063</v>
      </c>
      <c r="D80" s="46">
        <v>6</v>
      </c>
      <c r="E80" s="46">
        <v>2025</v>
      </c>
      <c r="F80" s="46">
        <v>9</v>
      </c>
      <c r="G80" s="84" t="s">
        <v>198</v>
      </c>
      <c r="H80" s="85" t="s">
        <v>197</v>
      </c>
      <c r="I80" s="47" t="s">
        <v>438</v>
      </c>
      <c r="J80" s="47" t="s">
        <v>467</v>
      </c>
      <c r="K80" s="48" t="s">
        <v>304</v>
      </c>
      <c r="L80" s="48" t="s">
        <v>30</v>
      </c>
      <c r="M80" s="48" t="s">
        <v>1086</v>
      </c>
      <c r="N80" s="48" t="s">
        <v>1135</v>
      </c>
      <c r="O80" s="47"/>
      <c r="P80" s="83">
        <v>42.63</v>
      </c>
      <c r="Q80" s="39">
        <v>60311005</v>
      </c>
      <c r="R80" s="46" t="s">
        <v>1065</v>
      </c>
      <c r="S80" s="46" t="s">
        <v>1066</v>
      </c>
      <c r="T80" s="46" t="s">
        <v>1067</v>
      </c>
      <c r="U80" t="str">
        <f>IFERROR(+VLOOKUP(H80,'DISPOSITIVOS ACTIVOS'!B:D,3,FALSE),"IPHONE")</f>
        <v>IPHONE</v>
      </c>
      <c r="V80" t="str">
        <f>IFERROR(+VLOOKUP(H80,'[1]Migracion feb25 Ver to ATT'!$B:$G,6,FALSE), "NO MIGRADO")</f>
        <v>NO MIGRADO</v>
      </c>
      <c r="W80" s="26">
        <v>25</v>
      </c>
    </row>
    <row r="81" spans="1:23" x14ac:dyDescent="0.3">
      <c r="A81" t="s">
        <v>1062</v>
      </c>
      <c r="B81" s="46" t="s">
        <v>22</v>
      </c>
      <c r="C81" s="46" t="s">
        <v>1063</v>
      </c>
      <c r="D81" s="46">
        <v>6</v>
      </c>
      <c r="E81" s="46">
        <v>2025</v>
      </c>
      <c r="F81" s="46">
        <v>9</v>
      </c>
      <c r="G81" s="50" t="s">
        <v>116</v>
      </c>
      <c r="H81" s="37" t="s">
        <v>199</v>
      </c>
      <c r="I81" s="50" t="s">
        <v>439</v>
      </c>
      <c r="J81" s="51" t="s">
        <v>1091</v>
      </c>
      <c r="K81" s="51" t="s">
        <v>527</v>
      </c>
      <c r="L81" s="50" t="s">
        <v>30</v>
      </c>
      <c r="M81" s="51" t="s">
        <v>1092</v>
      </c>
      <c r="N81" s="51" t="s">
        <v>1132</v>
      </c>
      <c r="O81" s="50"/>
      <c r="P81" s="82">
        <v>50.71</v>
      </c>
      <c r="Q81" s="39">
        <v>10145005</v>
      </c>
      <c r="R81" s="46"/>
      <c r="S81" s="46"/>
      <c r="T81" s="46"/>
      <c r="U81" t="str">
        <f>IFERROR(+VLOOKUP(H81,'DISPOSITIVOS ACTIVOS'!B:D,3,FALSE),"IPHONE")</f>
        <v>Iphone</v>
      </c>
      <c r="V81" t="str">
        <f>IFERROR(+VLOOKUP(H81,'[1]Migracion feb25 Ver to ATT'!$B:$G,6,FALSE), "NO MIGRADO")</f>
        <v>Iphone</v>
      </c>
      <c r="W81" s="26">
        <v>15</v>
      </c>
    </row>
    <row r="82" spans="1:23" x14ac:dyDescent="0.3">
      <c r="A82" t="s">
        <v>1062</v>
      </c>
      <c r="B82" s="46" t="s">
        <v>22</v>
      </c>
      <c r="C82" s="46" t="s">
        <v>1063</v>
      </c>
      <c r="D82" s="46">
        <v>6</v>
      </c>
      <c r="E82" s="46">
        <v>2025</v>
      </c>
      <c r="F82" s="46">
        <v>9</v>
      </c>
      <c r="G82" s="47" t="s">
        <v>201</v>
      </c>
      <c r="H82" s="36" t="s">
        <v>200</v>
      </c>
      <c r="I82" s="47" t="s">
        <v>440</v>
      </c>
      <c r="J82" s="47" t="s">
        <v>1068</v>
      </c>
      <c r="K82" s="48" t="s">
        <v>304</v>
      </c>
      <c r="L82" s="48" t="s">
        <v>30</v>
      </c>
      <c r="M82" s="48" t="s">
        <v>1069</v>
      </c>
      <c r="N82" s="48" t="s">
        <v>1083</v>
      </c>
      <c r="O82" s="47"/>
      <c r="P82" s="83">
        <v>36.74</v>
      </c>
      <c r="Q82" s="39">
        <v>60311005</v>
      </c>
      <c r="R82" s="46" t="s">
        <v>1114</v>
      </c>
      <c r="S82" s="46" t="s">
        <v>1115</v>
      </c>
      <c r="T82" s="46" t="s">
        <v>1116</v>
      </c>
      <c r="U82" t="str">
        <f>IFERROR(+VLOOKUP(H82,'DISPOSITIVOS ACTIVOS'!B:D,3,FALSE),"IPHONE")</f>
        <v>Galaxy</v>
      </c>
      <c r="V82" t="str">
        <f>IFERROR(+VLOOKUP(H82,'[1]Migracion feb25 Ver to ATT'!$B:$G,6,FALSE), "NO MIGRADO")</f>
        <v>NO MIGRADO</v>
      </c>
      <c r="W82" s="26">
        <v>25</v>
      </c>
    </row>
    <row r="83" spans="1:23" x14ac:dyDescent="0.3">
      <c r="A83" t="s">
        <v>1062</v>
      </c>
      <c r="B83" s="46" t="s">
        <v>22</v>
      </c>
      <c r="C83" s="46" t="s">
        <v>1063</v>
      </c>
      <c r="D83" s="46">
        <v>6</v>
      </c>
      <c r="E83" s="46">
        <v>2025</v>
      </c>
      <c r="F83" s="46">
        <v>9</v>
      </c>
      <c r="G83" s="50" t="s">
        <v>46</v>
      </c>
      <c r="H83" s="37" t="s">
        <v>45</v>
      </c>
      <c r="I83" s="50" t="s">
        <v>441</v>
      </c>
      <c r="J83" s="50" t="s">
        <v>30</v>
      </c>
      <c r="K83" s="51" t="s">
        <v>297</v>
      </c>
      <c r="L83" s="50" t="s">
        <v>30</v>
      </c>
      <c r="M83" s="51" t="s">
        <v>264</v>
      </c>
      <c r="N83" s="50" t="s">
        <v>30</v>
      </c>
      <c r="O83" s="50"/>
      <c r="P83" s="82">
        <v>18.75</v>
      </c>
      <c r="Q83" s="39">
        <v>60311003</v>
      </c>
      <c r="R83" s="46" t="s">
        <v>1065</v>
      </c>
      <c r="S83" s="46" t="s">
        <v>1066</v>
      </c>
      <c r="T83" s="46" t="s">
        <v>1067</v>
      </c>
      <c r="U83" t="str">
        <f>IFERROR(+VLOOKUP(H83,'DISPOSITIVOS ACTIVOS'!B:D,3,FALSE),"IPHONE")</f>
        <v>Ipad</v>
      </c>
      <c r="V83" t="str">
        <f>IFERROR(+VLOOKUP(H83,'[1]Migracion feb25 Ver to ATT'!$B:$G,6,FALSE), "NO MIGRADO")</f>
        <v>NO MIGRADO</v>
      </c>
      <c r="W83" s="26">
        <v>15</v>
      </c>
    </row>
    <row r="84" spans="1:23" x14ac:dyDescent="0.3">
      <c r="A84" t="s">
        <v>1062</v>
      </c>
      <c r="B84" s="46" t="s">
        <v>22</v>
      </c>
      <c r="C84" s="46" t="s">
        <v>1063</v>
      </c>
      <c r="D84" s="46">
        <v>6</v>
      </c>
      <c r="E84" s="46">
        <v>2025</v>
      </c>
      <c r="F84" s="46">
        <v>9</v>
      </c>
      <c r="G84" s="47" t="s">
        <v>44</v>
      </c>
      <c r="H84" s="36" t="s">
        <v>43</v>
      </c>
      <c r="I84" s="47" t="s">
        <v>444</v>
      </c>
      <c r="J84" s="47" t="s">
        <v>30</v>
      </c>
      <c r="K84" s="48" t="s">
        <v>297</v>
      </c>
      <c r="L84" s="47" t="s">
        <v>30</v>
      </c>
      <c r="M84" s="48" t="s">
        <v>264</v>
      </c>
      <c r="N84" s="48" t="s">
        <v>30</v>
      </c>
      <c r="O84" s="47"/>
      <c r="P84" s="83">
        <v>18.75</v>
      </c>
      <c r="Q84" s="39">
        <v>60311003</v>
      </c>
      <c r="R84" s="46" t="s">
        <v>1065</v>
      </c>
      <c r="S84" s="46" t="s">
        <v>1066</v>
      </c>
      <c r="T84" s="46" t="s">
        <v>1067</v>
      </c>
      <c r="U84" t="str">
        <f>IFERROR(+VLOOKUP(H84,'DISPOSITIVOS ACTIVOS'!B:D,3,FALSE),"IPHONE")</f>
        <v>Ipad</v>
      </c>
      <c r="V84" t="str">
        <f>IFERROR(+VLOOKUP(H84,'[1]Migracion feb25 Ver to ATT'!$B:$G,6,FALSE), "NO MIGRADO")</f>
        <v>NO MIGRADO</v>
      </c>
      <c r="W84" s="26">
        <v>15</v>
      </c>
    </row>
    <row r="85" spans="1:23" x14ac:dyDescent="0.3">
      <c r="A85" t="s">
        <v>1062</v>
      </c>
      <c r="B85" s="46" t="s">
        <v>22</v>
      </c>
      <c r="C85" s="46" t="s">
        <v>1063</v>
      </c>
      <c r="D85" s="46">
        <v>6</v>
      </c>
      <c r="E85" s="46">
        <v>2025</v>
      </c>
      <c r="F85" s="46">
        <v>9</v>
      </c>
      <c r="G85" s="50" t="s">
        <v>203</v>
      </c>
      <c r="H85" s="37" t="s">
        <v>202</v>
      </c>
      <c r="I85" s="50" t="s">
        <v>445</v>
      </c>
      <c r="J85" s="50" t="s">
        <v>1091</v>
      </c>
      <c r="K85" s="51" t="s">
        <v>527</v>
      </c>
      <c r="L85" s="50" t="s">
        <v>30</v>
      </c>
      <c r="M85" s="51" t="s">
        <v>1092</v>
      </c>
      <c r="N85" s="51" t="s">
        <v>1132</v>
      </c>
      <c r="O85" s="50"/>
      <c r="P85" s="82">
        <v>50.71</v>
      </c>
      <c r="Q85" s="39">
        <v>60311005</v>
      </c>
      <c r="R85" s="46" t="s">
        <v>1065</v>
      </c>
      <c r="S85" s="46" t="s">
        <v>1066</v>
      </c>
      <c r="T85" s="46" t="s">
        <v>1084</v>
      </c>
      <c r="U85" t="str">
        <f>IFERROR(+VLOOKUP(H85,'DISPOSITIVOS ACTIVOS'!B:D,3,FALSE),"IPHONE")</f>
        <v>Iphone</v>
      </c>
      <c r="V85" t="str">
        <f>IFERROR(+VLOOKUP(H85,'[1]Migracion feb25 Ver to ATT'!$B:$G,6,FALSE), "NO MIGRADO")</f>
        <v>Iphone</v>
      </c>
      <c r="W85" s="26">
        <v>15</v>
      </c>
    </row>
    <row r="86" spans="1:23" x14ac:dyDescent="0.3">
      <c r="A86" t="s">
        <v>1062</v>
      </c>
      <c r="B86" s="46" t="s">
        <v>22</v>
      </c>
      <c r="C86" s="46" t="s">
        <v>1063</v>
      </c>
      <c r="D86" s="46">
        <v>6</v>
      </c>
      <c r="E86" s="46">
        <v>2025</v>
      </c>
      <c r="F86" s="46">
        <v>9</v>
      </c>
      <c r="G86" s="47" t="s">
        <v>450</v>
      </c>
      <c r="H86" s="36" t="s">
        <v>449</v>
      </c>
      <c r="I86" s="47" t="s">
        <v>446</v>
      </c>
      <c r="J86" s="47" t="s">
        <v>30</v>
      </c>
      <c r="K86" s="48" t="s">
        <v>297</v>
      </c>
      <c r="L86" s="47" t="s">
        <v>30</v>
      </c>
      <c r="M86" s="48" t="s">
        <v>264</v>
      </c>
      <c r="N86" s="48" t="s">
        <v>30</v>
      </c>
      <c r="O86" s="47"/>
      <c r="P86" s="83">
        <v>18.75</v>
      </c>
      <c r="Q86" s="39">
        <v>60311003</v>
      </c>
      <c r="R86" s="46" t="s">
        <v>1065</v>
      </c>
      <c r="S86" s="46" t="s">
        <v>1066</v>
      </c>
      <c r="T86" s="46" t="s">
        <v>1085</v>
      </c>
      <c r="U86" t="str">
        <f>IFERROR(+VLOOKUP(H86,'DISPOSITIVOS ACTIVOS'!B:D,3,FALSE),"IPHONE")</f>
        <v>Ipad</v>
      </c>
      <c r="V86" t="str">
        <f>IFERROR(+VLOOKUP(H86,'[1]Migracion feb25 Ver to ATT'!$B:$G,6,FALSE), "NO MIGRADO")</f>
        <v>NO MIGRADO</v>
      </c>
      <c r="W86" s="26">
        <v>15</v>
      </c>
    </row>
    <row r="87" spans="1:23" x14ac:dyDescent="0.3">
      <c r="A87" t="s">
        <v>1062</v>
      </c>
      <c r="B87" s="46" t="s">
        <v>22</v>
      </c>
      <c r="C87" s="46" t="s">
        <v>1063</v>
      </c>
      <c r="D87" s="46">
        <v>6</v>
      </c>
      <c r="E87" s="46">
        <v>2025</v>
      </c>
      <c r="F87" s="46">
        <v>9</v>
      </c>
      <c r="G87" s="50" t="s">
        <v>205</v>
      </c>
      <c r="H87" s="37" t="s">
        <v>204</v>
      </c>
      <c r="I87" s="50" t="s">
        <v>447</v>
      </c>
      <c r="J87" s="51" t="s">
        <v>1068</v>
      </c>
      <c r="K87" s="51" t="s">
        <v>304</v>
      </c>
      <c r="L87" s="50" t="s">
        <v>30</v>
      </c>
      <c r="M87" s="51" t="s">
        <v>1069</v>
      </c>
      <c r="N87" s="51" t="s">
        <v>1083</v>
      </c>
      <c r="O87" s="50"/>
      <c r="P87" s="82">
        <v>36.74</v>
      </c>
      <c r="Q87" s="39">
        <v>60311005</v>
      </c>
      <c r="R87" s="46" t="s">
        <v>1065</v>
      </c>
      <c r="S87" s="46" t="s">
        <v>1066</v>
      </c>
      <c r="T87" s="46" t="s">
        <v>1084</v>
      </c>
      <c r="U87" t="str">
        <f>IFERROR(+VLOOKUP(H87,'DISPOSITIVOS ACTIVOS'!B:D,3,FALSE),"IPHONE")</f>
        <v>Iphone</v>
      </c>
      <c r="V87" t="str">
        <f>IFERROR(+VLOOKUP(H87,'[1]Migracion feb25 Ver to ATT'!$B:$G,6,FALSE), "NO MIGRADO")</f>
        <v>NO MIGRADO</v>
      </c>
      <c r="W87" s="26">
        <v>25</v>
      </c>
    </row>
    <row r="88" spans="1:23" x14ac:dyDescent="0.3">
      <c r="A88" t="s">
        <v>1062</v>
      </c>
      <c r="B88" s="46" t="s">
        <v>22</v>
      </c>
      <c r="C88" s="46" t="s">
        <v>1063</v>
      </c>
      <c r="D88" s="46">
        <v>6</v>
      </c>
      <c r="E88" s="46">
        <v>2025</v>
      </c>
      <c r="F88" s="46">
        <v>9</v>
      </c>
      <c r="G88" s="47" t="s">
        <v>455</v>
      </c>
      <c r="H88" s="36" t="s">
        <v>454</v>
      </c>
      <c r="I88" s="47" t="s">
        <v>448</v>
      </c>
      <c r="J88" s="47" t="s">
        <v>30</v>
      </c>
      <c r="K88" s="48" t="s">
        <v>297</v>
      </c>
      <c r="L88" s="48" t="s">
        <v>30</v>
      </c>
      <c r="M88" s="48" t="s">
        <v>264</v>
      </c>
      <c r="N88" s="48" t="s">
        <v>30</v>
      </c>
      <c r="O88" s="47"/>
      <c r="P88" s="83">
        <v>18.75</v>
      </c>
      <c r="Q88" s="39">
        <v>10145005</v>
      </c>
      <c r="R88" s="46"/>
      <c r="S88" s="46"/>
      <c r="T88" s="46"/>
      <c r="U88" t="str">
        <f>IFERROR(+VLOOKUP(H88,'DISPOSITIVOS ACTIVOS'!B:D,3,FALSE),"IPHONE")</f>
        <v xml:space="preserve">Galaxy </v>
      </c>
      <c r="V88" t="str">
        <f>IFERROR(+VLOOKUP(H88,'[1]Migracion feb25 Ver to ATT'!$B:$G,6,FALSE), "NO MIGRADO")</f>
        <v>NO MIGRADO</v>
      </c>
      <c r="W88" s="26">
        <v>25</v>
      </c>
    </row>
    <row r="89" spans="1:23" x14ac:dyDescent="0.3">
      <c r="A89" t="s">
        <v>1062</v>
      </c>
      <c r="B89" s="46" t="s">
        <v>22</v>
      </c>
      <c r="C89" s="46" t="s">
        <v>1063</v>
      </c>
      <c r="D89" s="46">
        <v>6</v>
      </c>
      <c r="E89" s="46">
        <v>2025</v>
      </c>
      <c r="F89" s="46">
        <v>9</v>
      </c>
      <c r="G89" s="50" t="s">
        <v>207</v>
      </c>
      <c r="H89" s="37" t="s">
        <v>206</v>
      </c>
      <c r="I89" s="50" t="s">
        <v>451</v>
      </c>
      <c r="J89" s="51" t="s">
        <v>1068</v>
      </c>
      <c r="K89" s="51" t="s">
        <v>304</v>
      </c>
      <c r="L89" s="50" t="s">
        <v>30</v>
      </c>
      <c r="M89" s="51" t="s">
        <v>1069</v>
      </c>
      <c r="N89" s="51" t="s">
        <v>1083</v>
      </c>
      <c r="O89" s="50"/>
      <c r="P89" s="82">
        <v>36.74</v>
      </c>
      <c r="Q89" s="39">
        <v>60311005</v>
      </c>
      <c r="R89" s="46" t="s">
        <v>1079</v>
      </c>
      <c r="S89" s="46" t="s">
        <v>1080</v>
      </c>
      <c r="T89" s="46" t="s">
        <v>1134</v>
      </c>
      <c r="U89" t="str">
        <f>IFERROR(+VLOOKUP(H89,'DISPOSITIVOS ACTIVOS'!B:D,3,FALSE),"IPHONE")</f>
        <v>Iphone</v>
      </c>
      <c r="V89" t="str">
        <f>IFERROR(+VLOOKUP(H89,'[1]Migracion feb25 Ver to ATT'!$B:$G,6,FALSE), "NO MIGRADO")</f>
        <v>NO MIGRADO</v>
      </c>
      <c r="W89" s="26">
        <v>25</v>
      </c>
    </row>
    <row r="90" spans="1:23" x14ac:dyDescent="0.3">
      <c r="A90" t="s">
        <v>1062</v>
      </c>
      <c r="B90" s="46" t="s">
        <v>22</v>
      </c>
      <c r="C90" s="46" t="s">
        <v>1063</v>
      </c>
      <c r="D90" s="46">
        <v>6</v>
      </c>
      <c r="E90" s="46">
        <v>2025</v>
      </c>
      <c r="F90" s="46">
        <v>9</v>
      </c>
      <c r="G90" s="47" t="s">
        <v>209</v>
      </c>
      <c r="H90" s="36" t="s">
        <v>208</v>
      </c>
      <c r="I90" s="47" t="s">
        <v>453</v>
      </c>
      <c r="J90" s="47" t="s">
        <v>1091</v>
      </c>
      <c r="K90" s="48" t="s">
        <v>527</v>
      </c>
      <c r="L90" s="48" t="s">
        <v>30</v>
      </c>
      <c r="M90" s="48" t="s">
        <v>1092</v>
      </c>
      <c r="N90" s="48" t="s">
        <v>1132</v>
      </c>
      <c r="O90" s="47"/>
      <c r="P90" s="83">
        <v>50.71</v>
      </c>
      <c r="Q90" s="39">
        <v>60311005</v>
      </c>
      <c r="R90" s="46" t="s">
        <v>1065</v>
      </c>
      <c r="S90" s="46" t="s">
        <v>1066</v>
      </c>
      <c r="T90" s="46" t="s">
        <v>1085</v>
      </c>
      <c r="U90" t="str">
        <f>IFERROR(+VLOOKUP(H90,'DISPOSITIVOS ACTIVOS'!B:D,3,FALSE),"IPHONE")</f>
        <v>Iphone</v>
      </c>
      <c r="V90" t="str">
        <f>IFERROR(+VLOOKUP(H90,'[1]Migracion feb25 Ver to ATT'!$B:$G,6,FALSE), "NO MIGRADO")</f>
        <v>Iphone</v>
      </c>
      <c r="W90" s="26">
        <v>15</v>
      </c>
    </row>
    <row r="91" spans="1:23" x14ac:dyDescent="0.3">
      <c r="A91" t="s">
        <v>1062</v>
      </c>
      <c r="B91" s="46" t="s">
        <v>22</v>
      </c>
      <c r="C91" s="46" t="s">
        <v>1063</v>
      </c>
      <c r="D91" s="46">
        <v>6</v>
      </c>
      <c r="E91" s="46">
        <v>2025</v>
      </c>
      <c r="F91" s="46">
        <v>9</v>
      </c>
      <c r="G91" s="50" t="s">
        <v>211</v>
      </c>
      <c r="H91" s="37" t="s">
        <v>210</v>
      </c>
      <c r="I91" s="50" t="s">
        <v>456</v>
      </c>
      <c r="J91" s="50" t="s">
        <v>30</v>
      </c>
      <c r="K91" s="51" t="s">
        <v>297</v>
      </c>
      <c r="L91" s="50" t="s">
        <v>30</v>
      </c>
      <c r="M91" s="51" t="s">
        <v>264</v>
      </c>
      <c r="N91" s="50" t="s">
        <v>30</v>
      </c>
      <c r="O91" s="50"/>
      <c r="P91" s="82">
        <v>18.75</v>
      </c>
      <c r="Q91" s="39">
        <v>60311003</v>
      </c>
      <c r="R91" s="46" t="s">
        <v>1065</v>
      </c>
      <c r="S91" s="46" t="s">
        <v>1066</v>
      </c>
      <c r="T91" s="46" t="s">
        <v>1067</v>
      </c>
      <c r="U91" t="str">
        <f>IFERROR(+VLOOKUP(H91,'DISPOSITIVOS ACTIVOS'!B:D,3,FALSE),"IPHONE")</f>
        <v>Ipad</v>
      </c>
      <c r="V91" t="str">
        <f>IFERROR(+VLOOKUP(H91,'[1]Migracion feb25 Ver to ATT'!$B:$G,6,FALSE), "NO MIGRADO")</f>
        <v>NO MIGRADO</v>
      </c>
      <c r="W91" s="26">
        <v>15</v>
      </c>
    </row>
    <row r="92" spans="1:23" x14ac:dyDescent="0.3">
      <c r="A92" t="s">
        <v>1062</v>
      </c>
      <c r="B92" s="46" t="s">
        <v>22</v>
      </c>
      <c r="C92" s="46" t="s">
        <v>1063</v>
      </c>
      <c r="D92" s="46">
        <v>6</v>
      </c>
      <c r="E92" s="46">
        <v>2025</v>
      </c>
      <c r="F92" s="46">
        <v>9</v>
      </c>
      <c r="G92" s="47" t="s">
        <v>211</v>
      </c>
      <c r="H92" s="36" t="s">
        <v>212</v>
      </c>
      <c r="I92" s="47" t="s">
        <v>458</v>
      </c>
      <c r="J92" s="47" t="s">
        <v>1091</v>
      </c>
      <c r="K92" s="48" t="s">
        <v>527</v>
      </c>
      <c r="L92" s="47" t="s">
        <v>30</v>
      </c>
      <c r="M92" s="48" t="s">
        <v>1092</v>
      </c>
      <c r="N92" s="48" t="s">
        <v>1132</v>
      </c>
      <c r="O92" s="47"/>
      <c r="P92" s="83">
        <v>50.71</v>
      </c>
      <c r="Q92" s="39">
        <v>60311005</v>
      </c>
      <c r="R92" s="46" t="s">
        <v>1065</v>
      </c>
      <c r="S92" s="46" t="s">
        <v>1066</v>
      </c>
      <c r="T92" s="46" t="s">
        <v>1067</v>
      </c>
      <c r="U92" t="str">
        <f>IFERROR(+VLOOKUP(H92,'DISPOSITIVOS ACTIVOS'!B:D,3,FALSE),"IPHONE")</f>
        <v>Iphone</v>
      </c>
      <c r="V92" t="str">
        <f>IFERROR(+VLOOKUP(H92,'[1]Migracion feb25 Ver to ATT'!$B:$G,6,FALSE), "NO MIGRADO")</f>
        <v>Iphone</v>
      </c>
      <c r="W92" s="26">
        <v>15</v>
      </c>
    </row>
    <row r="93" spans="1:23" x14ac:dyDescent="0.3">
      <c r="A93" t="s">
        <v>1062</v>
      </c>
      <c r="B93" s="46" t="s">
        <v>22</v>
      </c>
      <c r="C93" s="46" t="s">
        <v>1063</v>
      </c>
      <c r="D93" s="46">
        <v>6</v>
      </c>
      <c r="E93" s="46">
        <v>2025</v>
      </c>
      <c r="F93" s="46">
        <v>9</v>
      </c>
      <c r="G93" s="50" t="s">
        <v>214</v>
      </c>
      <c r="H93" s="37" t="s">
        <v>213</v>
      </c>
      <c r="I93" s="50" t="s">
        <v>459</v>
      </c>
      <c r="J93" s="50" t="s">
        <v>1068</v>
      </c>
      <c r="K93" s="51" t="s">
        <v>304</v>
      </c>
      <c r="L93" s="50" t="s">
        <v>30</v>
      </c>
      <c r="M93" s="51" t="s">
        <v>1069</v>
      </c>
      <c r="N93" s="51" t="s">
        <v>1083</v>
      </c>
      <c r="O93" s="50"/>
      <c r="P93" s="82">
        <v>36.74</v>
      </c>
      <c r="Q93" s="39">
        <v>60311005</v>
      </c>
      <c r="R93" s="46" t="s">
        <v>1105</v>
      </c>
      <c r="S93" s="46" t="s">
        <v>1106</v>
      </c>
      <c r="T93" s="46" t="s">
        <v>1107</v>
      </c>
      <c r="U93" t="str">
        <f>IFERROR(+VLOOKUP(H93,'DISPOSITIVOS ACTIVOS'!B:D,3,FALSE),"IPHONE")</f>
        <v>Iphone</v>
      </c>
      <c r="V93" t="str">
        <f>IFERROR(+VLOOKUP(H93,'[1]Migracion feb25 Ver to ATT'!$B:$G,6,FALSE), "NO MIGRADO")</f>
        <v>NO MIGRADO</v>
      </c>
      <c r="W93" s="26">
        <v>25</v>
      </c>
    </row>
    <row r="94" spans="1:23" x14ac:dyDescent="0.3">
      <c r="A94" t="s">
        <v>1062</v>
      </c>
      <c r="B94" s="46" t="s">
        <v>22</v>
      </c>
      <c r="C94" s="46" t="s">
        <v>1063</v>
      </c>
      <c r="D94" s="46">
        <v>6</v>
      </c>
      <c r="E94" s="46">
        <v>2025</v>
      </c>
      <c r="F94" s="46">
        <v>9</v>
      </c>
      <c r="G94" s="47" t="s">
        <v>216</v>
      </c>
      <c r="H94" s="36" t="s">
        <v>215</v>
      </c>
      <c r="I94" s="47" t="s">
        <v>460</v>
      </c>
      <c r="J94" s="47" t="s">
        <v>1068</v>
      </c>
      <c r="K94" s="48" t="s">
        <v>304</v>
      </c>
      <c r="L94" s="47" t="s">
        <v>263</v>
      </c>
      <c r="M94" s="48" t="s">
        <v>1069</v>
      </c>
      <c r="N94" s="48" t="s">
        <v>1083</v>
      </c>
      <c r="O94" s="47"/>
      <c r="P94" s="83">
        <v>56.74</v>
      </c>
      <c r="Q94" s="39">
        <v>60311005</v>
      </c>
      <c r="R94" s="46">
        <v>11</v>
      </c>
      <c r="S94" s="46">
        <v>1100</v>
      </c>
      <c r="T94" s="46">
        <v>110002</v>
      </c>
      <c r="U94" t="str">
        <f>IFERROR(+VLOOKUP(H94,'DISPOSITIVOS ACTIVOS'!B:D,3,FALSE),"IPHONE")</f>
        <v>Iphone</v>
      </c>
      <c r="V94" t="str">
        <f>IFERROR(+VLOOKUP(H94,'[1]Migracion feb25 Ver to ATT'!$B:$G,6,FALSE), "NO MIGRADO")</f>
        <v>NO MIGRADO</v>
      </c>
      <c r="W94" s="26">
        <v>25</v>
      </c>
    </row>
    <row r="95" spans="1:23" x14ac:dyDescent="0.3">
      <c r="A95" t="s">
        <v>1062</v>
      </c>
      <c r="B95" s="46" t="s">
        <v>22</v>
      </c>
      <c r="C95" s="46" t="s">
        <v>1063</v>
      </c>
      <c r="D95" s="46">
        <v>6</v>
      </c>
      <c r="E95" s="46">
        <v>2025</v>
      </c>
      <c r="F95" s="46">
        <v>9</v>
      </c>
      <c r="G95" s="50" t="s">
        <v>465</v>
      </c>
      <c r="H95" s="37" t="s">
        <v>464</v>
      </c>
      <c r="I95" s="50" t="s">
        <v>461</v>
      </c>
      <c r="J95" s="51" t="s">
        <v>30</v>
      </c>
      <c r="K95" s="51" t="s">
        <v>297</v>
      </c>
      <c r="L95" s="50" t="s">
        <v>30</v>
      </c>
      <c r="M95" s="51" t="s">
        <v>264</v>
      </c>
      <c r="N95" s="51" t="s">
        <v>30</v>
      </c>
      <c r="O95" s="50"/>
      <c r="P95" s="82">
        <v>18.75</v>
      </c>
      <c r="Q95" s="39">
        <v>10145005</v>
      </c>
      <c r="R95" s="46"/>
      <c r="S95" s="46"/>
      <c r="T95" s="46"/>
      <c r="U95" t="str">
        <f>IFERROR(+VLOOKUP(H95,'DISPOSITIVOS ACTIVOS'!B:D,3,FALSE),"IPHONE")</f>
        <v>Ipad</v>
      </c>
      <c r="V95" t="str">
        <f>IFERROR(+VLOOKUP(H95,'[1]Migracion feb25 Ver to ATT'!$B:$G,6,FALSE), "NO MIGRADO")</f>
        <v>NO MIGRADO</v>
      </c>
      <c r="W95" s="26">
        <v>15</v>
      </c>
    </row>
    <row r="96" spans="1:23" x14ac:dyDescent="0.3">
      <c r="A96" t="s">
        <v>1062</v>
      </c>
      <c r="B96" s="46" t="s">
        <v>22</v>
      </c>
      <c r="C96" s="46" t="s">
        <v>1063</v>
      </c>
      <c r="D96" s="46">
        <v>6</v>
      </c>
      <c r="E96" s="46">
        <v>2025</v>
      </c>
      <c r="F96" s="46">
        <v>9</v>
      </c>
      <c r="G96" s="84" t="s">
        <v>218</v>
      </c>
      <c r="H96" s="85" t="s">
        <v>217</v>
      </c>
      <c r="I96" s="47" t="s">
        <v>462</v>
      </c>
      <c r="J96" s="47" t="s">
        <v>30</v>
      </c>
      <c r="K96" s="48" t="s">
        <v>355</v>
      </c>
      <c r="L96" s="48" t="s">
        <v>30</v>
      </c>
      <c r="M96" s="48" t="s">
        <v>30</v>
      </c>
      <c r="N96" s="48" t="s">
        <v>30</v>
      </c>
      <c r="O96" s="47"/>
      <c r="P96" s="83">
        <v>10</v>
      </c>
      <c r="Q96" s="39">
        <v>60311005</v>
      </c>
      <c r="R96" s="46" t="s">
        <v>1065</v>
      </c>
      <c r="S96" s="46" t="s">
        <v>1066</v>
      </c>
      <c r="T96" s="46" t="s">
        <v>1067</v>
      </c>
      <c r="U96" t="str">
        <f>IFERROR(+VLOOKUP(H96,'DISPOSITIVOS ACTIVOS'!B:D,3,FALSE),"IPHONE")</f>
        <v>IPHONE</v>
      </c>
      <c r="V96" t="str">
        <f>IFERROR(+VLOOKUP(H96,'[1]Migracion feb25 Ver to ATT'!$B:$G,6,FALSE), "NO MIGRADO")</f>
        <v>NO MIGRADO</v>
      </c>
      <c r="W96" s="26">
        <v>25</v>
      </c>
    </row>
    <row r="97" spans="1:23" x14ac:dyDescent="0.3">
      <c r="A97" t="s">
        <v>1062</v>
      </c>
      <c r="B97" s="46" t="s">
        <v>22</v>
      </c>
      <c r="C97" s="46" t="s">
        <v>1063</v>
      </c>
      <c r="D97" s="46">
        <v>6</v>
      </c>
      <c r="E97" s="46">
        <v>2025</v>
      </c>
      <c r="F97" s="46">
        <v>9</v>
      </c>
      <c r="G97" s="50" t="s">
        <v>472</v>
      </c>
      <c r="H97" s="37" t="s">
        <v>471</v>
      </c>
      <c r="I97" s="50" t="s">
        <v>463</v>
      </c>
      <c r="J97" s="51" t="s">
        <v>30</v>
      </c>
      <c r="K97" s="51" t="s">
        <v>297</v>
      </c>
      <c r="L97" s="50" t="s">
        <v>30</v>
      </c>
      <c r="M97" s="51" t="s">
        <v>264</v>
      </c>
      <c r="N97" s="51" t="s">
        <v>30</v>
      </c>
      <c r="O97" s="50"/>
      <c r="P97" s="82">
        <v>18.75</v>
      </c>
      <c r="Q97" s="39">
        <v>10145005</v>
      </c>
      <c r="R97" s="46"/>
      <c r="S97" s="46"/>
      <c r="T97" s="46"/>
      <c r="U97" t="str">
        <f>IFERROR(+VLOOKUP(H97,'DISPOSITIVOS ACTIVOS'!B:D,3,FALSE),"IPHONE")</f>
        <v>Ipad</v>
      </c>
      <c r="V97" t="str">
        <f>IFERROR(+VLOOKUP(H97,'[1]Migracion feb25 Ver to ATT'!$B:$G,6,FALSE), "NO MIGRADO")</f>
        <v>NO MIGRADO</v>
      </c>
      <c r="W97" s="26">
        <v>15</v>
      </c>
    </row>
    <row r="98" spans="1:23" x14ac:dyDescent="0.3">
      <c r="A98" t="s">
        <v>1062</v>
      </c>
      <c r="B98" s="46" t="s">
        <v>22</v>
      </c>
      <c r="C98" s="46" t="s">
        <v>1063</v>
      </c>
      <c r="D98" s="46">
        <v>6</v>
      </c>
      <c r="E98" s="46">
        <v>2025</v>
      </c>
      <c r="F98" s="46">
        <v>9</v>
      </c>
      <c r="G98" s="47" t="s">
        <v>52</v>
      </c>
      <c r="H98" s="36" t="s">
        <v>51</v>
      </c>
      <c r="I98" s="47" t="s">
        <v>466</v>
      </c>
      <c r="J98" s="47" t="s">
        <v>30</v>
      </c>
      <c r="K98" s="48" t="s">
        <v>297</v>
      </c>
      <c r="L98" s="48" t="s">
        <v>30</v>
      </c>
      <c r="M98" s="48" t="s">
        <v>264</v>
      </c>
      <c r="N98" s="48" t="s">
        <v>30</v>
      </c>
      <c r="O98" s="47"/>
      <c r="P98" s="83">
        <v>18.75</v>
      </c>
      <c r="Q98" s="39">
        <v>60311003</v>
      </c>
      <c r="R98" s="46" t="s">
        <v>1065</v>
      </c>
      <c r="S98" s="46" t="s">
        <v>1066</v>
      </c>
      <c r="T98" s="46" t="s">
        <v>1084</v>
      </c>
      <c r="U98" t="str">
        <f>IFERROR(+VLOOKUP(H98,'DISPOSITIVOS ACTIVOS'!B:D,3,FALSE),"IPHONE")</f>
        <v>Ipad</v>
      </c>
      <c r="V98" t="str">
        <f>IFERROR(+VLOOKUP(H98,'[1]Migracion feb25 Ver to ATT'!$B:$G,6,FALSE), "NO MIGRADO")</f>
        <v>NO MIGRADO</v>
      </c>
      <c r="W98" s="26">
        <v>15</v>
      </c>
    </row>
    <row r="99" spans="1:23" x14ac:dyDescent="0.3">
      <c r="A99" t="s">
        <v>1062</v>
      </c>
      <c r="B99" s="46" t="s">
        <v>22</v>
      </c>
      <c r="C99" s="46" t="s">
        <v>1063</v>
      </c>
      <c r="D99" s="46">
        <v>6</v>
      </c>
      <c r="E99" s="46">
        <v>2025</v>
      </c>
      <c r="F99" s="46">
        <v>9</v>
      </c>
      <c r="G99" s="50" t="s">
        <v>24</v>
      </c>
      <c r="H99" s="37" t="s">
        <v>23</v>
      </c>
      <c r="I99" s="50" t="s">
        <v>468</v>
      </c>
      <c r="J99" s="50" t="s">
        <v>1068</v>
      </c>
      <c r="K99" s="51" t="s">
        <v>304</v>
      </c>
      <c r="L99" s="50" t="s">
        <v>318</v>
      </c>
      <c r="M99" s="51" t="s">
        <v>1069</v>
      </c>
      <c r="N99" s="50" t="s">
        <v>1083</v>
      </c>
      <c r="O99" s="50"/>
      <c r="P99" s="82">
        <v>42.73</v>
      </c>
      <c r="Q99" s="39">
        <v>60311005</v>
      </c>
      <c r="R99" s="46" t="s">
        <v>1065</v>
      </c>
      <c r="S99" s="46" t="s">
        <v>1066</v>
      </c>
      <c r="T99" s="46" t="s">
        <v>1067</v>
      </c>
      <c r="U99" t="str">
        <f>IFERROR(+VLOOKUP(H99,'DISPOSITIVOS ACTIVOS'!B:D,3,FALSE),"IPHONE")</f>
        <v>Iphone</v>
      </c>
      <c r="V99" t="str">
        <f>IFERROR(+VLOOKUP(H99,'[1]Migracion feb25 Ver to ATT'!$B:$G,6,FALSE), "NO MIGRADO")</f>
        <v>NO MIGRADO</v>
      </c>
      <c r="W99" s="26">
        <v>25</v>
      </c>
    </row>
    <row r="100" spans="1:23" x14ac:dyDescent="0.3">
      <c r="A100" t="s">
        <v>1062</v>
      </c>
      <c r="B100" s="46" t="s">
        <v>22</v>
      </c>
      <c r="C100" s="46" t="s">
        <v>1063</v>
      </c>
      <c r="D100" s="46">
        <v>6</v>
      </c>
      <c r="E100" s="46">
        <v>2025</v>
      </c>
      <c r="F100" s="46">
        <v>9</v>
      </c>
      <c r="G100" s="47" t="s">
        <v>56</v>
      </c>
      <c r="H100" s="36" t="s">
        <v>58</v>
      </c>
      <c r="I100" s="47" t="s">
        <v>473</v>
      </c>
      <c r="J100" s="47" t="s">
        <v>30</v>
      </c>
      <c r="K100" s="48" t="s">
        <v>297</v>
      </c>
      <c r="L100" s="47" t="s">
        <v>482</v>
      </c>
      <c r="M100" s="48" t="s">
        <v>264</v>
      </c>
      <c r="N100" s="48" t="s">
        <v>30</v>
      </c>
      <c r="O100" s="47"/>
      <c r="P100" s="83">
        <v>31.53</v>
      </c>
      <c r="Q100" s="39">
        <v>60311003</v>
      </c>
      <c r="R100" s="46" t="s">
        <v>1065</v>
      </c>
      <c r="S100" s="46" t="s">
        <v>1066</v>
      </c>
      <c r="T100" s="46" t="s">
        <v>1067</v>
      </c>
      <c r="U100" t="str">
        <f>IFERROR(+VLOOKUP(H100,'DISPOSITIVOS ACTIVOS'!B:D,3,FALSE),"IPHONE")</f>
        <v>Ipad</v>
      </c>
      <c r="V100" t="str">
        <f>IFERROR(+VLOOKUP(H100,'[1]Migracion feb25 Ver to ATT'!$B:$G,6,FALSE), "NO MIGRADO")</f>
        <v>NO MIGRADO</v>
      </c>
      <c r="W100" s="26">
        <v>15</v>
      </c>
    </row>
    <row r="101" spans="1:23" x14ac:dyDescent="0.3">
      <c r="A101" t="s">
        <v>1062</v>
      </c>
      <c r="B101" s="46" t="s">
        <v>22</v>
      </c>
      <c r="C101" s="46" t="s">
        <v>1063</v>
      </c>
      <c r="D101" s="46">
        <v>6</v>
      </c>
      <c r="E101" s="46">
        <v>2025</v>
      </c>
      <c r="F101" s="46">
        <v>9</v>
      </c>
      <c r="G101" s="50" t="s">
        <v>24</v>
      </c>
      <c r="H101" s="37" t="s">
        <v>25</v>
      </c>
      <c r="I101" s="50" t="s">
        <v>475</v>
      </c>
      <c r="J101" s="50" t="s">
        <v>1068</v>
      </c>
      <c r="K101" s="51" t="s">
        <v>304</v>
      </c>
      <c r="L101" s="50" t="s">
        <v>318</v>
      </c>
      <c r="M101" s="51" t="s">
        <v>1069</v>
      </c>
      <c r="N101" s="51" t="s">
        <v>1083</v>
      </c>
      <c r="O101" s="50"/>
      <c r="P101" s="82">
        <v>42.73</v>
      </c>
      <c r="Q101" s="39">
        <v>60311005</v>
      </c>
      <c r="R101" s="46" t="s">
        <v>1065</v>
      </c>
      <c r="S101" s="46" t="s">
        <v>1100</v>
      </c>
      <c r="T101" s="46" t="s">
        <v>1136</v>
      </c>
      <c r="U101" t="str">
        <f>IFERROR(+VLOOKUP(H101,'DISPOSITIVOS ACTIVOS'!B:D,3,FALSE),"IPHONE")</f>
        <v>Iphone</v>
      </c>
      <c r="V101" t="str">
        <f>IFERROR(+VLOOKUP(H101,'[1]Migracion feb25 Ver to ATT'!$B:$G,6,FALSE), "NO MIGRADO")</f>
        <v>NO MIGRADO</v>
      </c>
      <c r="W101" s="26">
        <v>25</v>
      </c>
    </row>
    <row r="102" spans="1:23" x14ac:dyDescent="0.3">
      <c r="A102" t="s">
        <v>1062</v>
      </c>
      <c r="B102" s="46" t="s">
        <v>22</v>
      </c>
      <c r="C102" s="46" t="s">
        <v>1063</v>
      </c>
      <c r="D102" s="46">
        <v>6</v>
      </c>
      <c r="E102" s="46">
        <v>2025</v>
      </c>
      <c r="F102" s="46">
        <v>9</v>
      </c>
      <c r="G102" s="47" t="s">
        <v>27</v>
      </c>
      <c r="H102" s="36" t="s">
        <v>26</v>
      </c>
      <c r="I102" s="47" t="s">
        <v>476</v>
      </c>
      <c r="J102" s="47" t="s">
        <v>1068</v>
      </c>
      <c r="K102" s="48" t="s">
        <v>304</v>
      </c>
      <c r="L102" s="47" t="s">
        <v>318</v>
      </c>
      <c r="M102" s="48" t="s">
        <v>1069</v>
      </c>
      <c r="N102" s="48" t="s">
        <v>1083</v>
      </c>
      <c r="O102" s="47"/>
      <c r="P102" s="83">
        <v>42.73</v>
      </c>
      <c r="Q102" s="39">
        <v>60311005</v>
      </c>
      <c r="R102" s="46" t="s">
        <v>1065</v>
      </c>
      <c r="S102" s="46" t="s">
        <v>1066</v>
      </c>
      <c r="T102" s="46" t="s">
        <v>1085</v>
      </c>
      <c r="U102" t="str">
        <f>IFERROR(+VLOOKUP(H102,'DISPOSITIVOS ACTIVOS'!B:D,3,FALSE),"IPHONE")</f>
        <v>Iphone</v>
      </c>
      <c r="V102" t="str">
        <f>IFERROR(+VLOOKUP(H102,'[1]Migracion feb25 Ver to ATT'!$B:$G,6,FALSE), "NO MIGRADO")</f>
        <v>NO MIGRADO</v>
      </c>
      <c r="W102" s="26">
        <v>25</v>
      </c>
    </row>
    <row r="103" spans="1:23" x14ac:dyDescent="0.3">
      <c r="A103" t="s">
        <v>1062</v>
      </c>
      <c r="B103" s="46" t="s">
        <v>22</v>
      </c>
      <c r="C103" s="46" t="s">
        <v>1063</v>
      </c>
      <c r="D103" s="46">
        <v>6</v>
      </c>
      <c r="E103" s="46">
        <v>2025</v>
      </c>
      <c r="F103" s="46">
        <v>9</v>
      </c>
      <c r="G103" s="50" t="s">
        <v>56</v>
      </c>
      <c r="H103" s="37" t="s">
        <v>57</v>
      </c>
      <c r="I103" s="50" t="s">
        <v>481</v>
      </c>
      <c r="J103" s="51" t="s">
        <v>30</v>
      </c>
      <c r="K103" s="51" t="s">
        <v>297</v>
      </c>
      <c r="L103" s="50" t="s">
        <v>482</v>
      </c>
      <c r="M103" s="51" t="s">
        <v>264</v>
      </c>
      <c r="N103" s="51" t="s">
        <v>30</v>
      </c>
      <c r="O103" s="50"/>
      <c r="P103" s="82">
        <v>31.53</v>
      </c>
      <c r="Q103" s="39">
        <v>60311003</v>
      </c>
      <c r="R103" s="46" t="s">
        <v>1065</v>
      </c>
      <c r="S103" s="46" t="s">
        <v>1100</v>
      </c>
      <c r="T103" s="46" t="s">
        <v>1136</v>
      </c>
      <c r="U103" t="str">
        <f>IFERROR(+VLOOKUP(H103,'DISPOSITIVOS ACTIVOS'!B:D,3,FALSE),"IPHONE")</f>
        <v>Ipad</v>
      </c>
      <c r="V103" t="str">
        <f>IFERROR(+VLOOKUP(H103,'[1]Migracion feb25 Ver to ATT'!$B:$G,6,FALSE), "NO MIGRADO")</f>
        <v>NO MIGRADO</v>
      </c>
      <c r="W103" s="26">
        <v>15</v>
      </c>
    </row>
    <row r="104" spans="1:23" x14ac:dyDescent="0.3">
      <c r="A104" t="s">
        <v>1062</v>
      </c>
      <c r="B104" s="46" t="s">
        <v>22</v>
      </c>
      <c r="C104" s="46" t="s">
        <v>1063</v>
      </c>
      <c r="D104" s="46">
        <v>6</v>
      </c>
      <c r="E104" s="46">
        <v>2025</v>
      </c>
      <c r="F104" s="46">
        <v>9</v>
      </c>
      <c r="G104" s="47" t="s">
        <v>56</v>
      </c>
      <c r="H104" s="36" t="s">
        <v>55</v>
      </c>
      <c r="I104" s="47" t="s">
        <v>483</v>
      </c>
      <c r="J104" s="47" t="s">
        <v>30</v>
      </c>
      <c r="K104" s="48" t="s">
        <v>297</v>
      </c>
      <c r="L104" s="48" t="s">
        <v>482</v>
      </c>
      <c r="M104" s="48" t="s">
        <v>264</v>
      </c>
      <c r="N104" s="48" t="s">
        <v>30</v>
      </c>
      <c r="O104" s="47"/>
      <c r="P104" s="83">
        <v>31.53</v>
      </c>
      <c r="Q104" s="39">
        <v>60311003</v>
      </c>
      <c r="R104" s="46" t="s">
        <v>1065</v>
      </c>
      <c r="S104" s="46" t="s">
        <v>1066</v>
      </c>
      <c r="T104" s="46" t="s">
        <v>1085</v>
      </c>
      <c r="U104" t="str">
        <f>IFERROR(+VLOOKUP(H104,'DISPOSITIVOS ACTIVOS'!B:D,3,FALSE),"IPHONE")</f>
        <v>Ipad</v>
      </c>
      <c r="V104" t="str">
        <f>IFERROR(+VLOOKUP(H104,'[1]Migracion feb25 Ver to ATT'!$B:$G,6,FALSE), "NO MIGRADO")</f>
        <v>NO MIGRADO</v>
      </c>
      <c r="W104" s="26">
        <v>15</v>
      </c>
    </row>
    <row r="105" spans="1:23" x14ac:dyDescent="0.3">
      <c r="A105" t="s">
        <v>1062</v>
      </c>
      <c r="B105" s="46" t="s">
        <v>22</v>
      </c>
      <c r="C105" s="46" t="s">
        <v>1063</v>
      </c>
      <c r="D105" s="46">
        <v>6</v>
      </c>
      <c r="E105" s="46">
        <v>2025</v>
      </c>
      <c r="F105" s="46">
        <v>9</v>
      </c>
      <c r="G105" s="87" t="s">
        <v>220</v>
      </c>
      <c r="H105" s="88" t="s">
        <v>219</v>
      </c>
      <c r="I105" s="50" t="s">
        <v>484</v>
      </c>
      <c r="J105" s="51" t="s">
        <v>30</v>
      </c>
      <c r="K105" s="51" t="s">
        <v>30</v>
      </c>
      <c r="L105" s="50" t="s">
        <v>318</v>
      </c>
      <c r="M105" s="51" t="s">
        <v>30</v>
      </c>
      <c r="N105" s="51" t="s">
        <v>30</v>
      </c>
      <c r="O105" s="50"/>
      <c r="P105" s="82">
        <v>5.99</v>
      </c>
      <c r="Q105" s="39">
        <v>60311005</v>
      </c>
      <c r="R105" s="46" t="s">
        <v>1065</v>
      </c>
      <c r="S105" s="46" t="s">
        <v>1066</v>
      </c>
      <c r="T105" s="46" t="s">
        <v>1067</v>
      </c>
      <c r="U105" t="str">
        <f>IFERROR(+VLOOKUP(H105,'DISPOSITIVOS ACTIVOS'!B:D,3,FALSE),"IPHONE")</f>
        <v>IPHONE</v>
      </c>
      <c r="V105" t="str">
        <f>IFERROR(+VLOOKUP(H105,'[1]Migracion feb25 Ver to ATT'!$B:$G,6,FALSE), "NO MIGRADO")</f>
        <v>NO MIGRADO</v>
      </c>
      <c r="W105" s="26">
        <v>25</v>
      </c>
    </row>
    <row r="106" spans="1:23" x14ac:dyDescent="0.3">
      <c r="A106" t="s">
        <v>1062</v>
      </c>
      <c r="B106" s="46" t="s">
        <v>22</v>
      </c>
      <c r="C106" s="46" t="s">
        <v>1063</v>
      </c>
      <c r="D106" s="46">
        <v>6</v>
      </c>
      <c r="E106" s="46">
        <v>2025</v>
      </c>
      <c r="F106" s="46">
        <v>9</v>
      </c>
      <c r="G106" s="47" t="s">
        <v>222</v>
      </c>
      <c r="H106" s="36" t="s">
        <v>221</v>
      </c>
      <c r="I106" s="47" t="s">
        <v>485</v>
      </c>
      <c r="J106" s="47" t="s">
        <v>1068</v>
      </c>
      <c r="K106" s="48" t="s">
        <v>304</v>
      </c>
      <c r="L106" s="48" t="s">
        <v>30</v>
      </c>
      <c r="M106" s="48" t="s">
        <v>1069</v>
      </c>
      <c r="N106" s="48" t="s">
        <v>1083</v>
      </c>
      <c r="O106" s="47"/>
      <c r="P106" s="83">
        <v>36.74</v>
      </c>
      <c r="Q106" s="39">
        <v>10145005</v>
      </c>
      <c r="R106" s="46"/>
      <c r="S106" s="46"/>
      <c r="T106" s="46"/>
      <c r="U106">
        <f>IFERROR(+VLOOKUP(H106,'DISPOSITIVOS ACTIVOS'!B:D,3,FALSE),"IPHONE")</f>
        <v>0</v>
      </c>
      <c r="V106" t="str">
        <f>IFERROR(+VLOOKUP(H106,'[1]Migracion feb25 Ver to ATT'!$B:$G,6,FALSE), "NO MIGRADO")</f>
        <v>NO MIGRADO</v>
      </c>
      <c r="W106" s="26">
        <v>25</v>
      </c>
    </row>
    <row r="107" spans="1:23" x14ac:dyDescent="0.3">
      <c r="A107" t="s">
        <v>1062</v>
      </c>
      <c r="B107" s="46" t="s">
        <v>22</v>
      </c>
      <c r="C107" s="46" t="s">
        <v>1063</v>
      </c>
      <c r="D107" s="46">
        <v>6</v>
      </c>
      <c r="E107" s="46">
        <v>2025</v>
      </c>
      <c r="F107" s="46">
        <v>9</v>
      </c>
      <c r="G107" s="50" t="s">
        <v>62</v>
      </c>
      <c r="H107" s="37" t="s">
        <v>61</v>
      </c>
      <c r="I107" s="50" t="s">
        <v>486</v>
      </c>
      <c r="J107" s="50" t="s">
        <v>30</v>
      </c>
      <c r="K107" s="51" t="s">
        <v>297</v>
      </c>
      <c r="L107" s="50" t="s">
        <v>30</v>
      </c>
      <c r="M107" s="51" t="s">
        <v>264</v>
      </c>
      <c r="N107" s="50" t="s">
        <v>30</v>
      </c>
      <c r="O107" s="50"/>
      <c r="P107" s="82">
        <v>18.75</v>
      </c>
      <c r="Q107" s="39">
        <v>60311003</v>
      </c>
      <c r="R107" s="46" t="s">
        <v>1065</v>
      </c>
      <c r="S107" s="46" t="s">
        <v>1066</v>
      </c>
      <c r="T107" s="46" t="s">
        <v>1084</v>
      </c>
      <c r="U107" t="str">
        <f>IFERROR(+VLOOKUP(H107,'DISPOSITIVOS ACTIVOS'!B:D,3,FALSE),"IPHONE")</f>
        <v>Ipad</v>
      </c>
      <c r="V107" t="str">
        <f>IFERROR(+VLOOKUP(H107,'[1]Migracion feb25 Ver to ATT'!$B:$G,6,FALSE), "NO MIGRADO")</f>
        <v>NO MIGRADO</v>
      </c>
      <c r="W107" s="26">
        <v>15</v>
      </c>
    </row>
    <row r="108" spans="1:23" x14ac:dyDescent="0.3">
      <c r="A108" t="s">
        <v>1062</v>
      </c>
      <c r="B108" s="46" t="s">
        <v>22</v>
      </c>
      <c r="C108" s="46" t="s">
        <v>1063</v>
      </c>
      <c r="D108" s="46">
        <v>6</v>
      </c>
      <c r="E108" s="46">
        <v>2025</v>
      </c>
      <c r="F108" s="46">
        <v>9</v>
      </c>
      <c r="G108" s="47" t="s">
        <v>60</v>
      </c>
      <c r="H108" s="36" t="s">
        <v>59</v>
      </c>
      <c r="I108" s="47" t="s">
        <v>487</v>
      </c>
      <c r="J108" s="47" t="s">
        <v>30</v>
      </c>
      <c r="K108" s="48" t="s">
        <v>297</v>
      </c>
      <c r="L108" s="47" t="s">
        <v>30</v>
      </c>
      <c r="M108" s="48" t="s">
        <v>264</v>
      </c>
      <c r="N108" s="48" t="s">
        <v>30</v>
      </c>
      <c r="O108" s="47"/>
      <c r="P108" s="83">
        <v>18.75</v>
      </c>
      <c r="Q108" s="39">
        <v>60311003</v>
      </c>
      <c r="R108" s="46" t="s">
        <v>1065</v>
      </c>
      <c r="S108" s="46" t="s">
        <v>1066</v>
      </c>
      <c r="T108" s="46" t="s">
        <v>1085</v>
      </c>
      <c r="U108" t="str">
        <f>IFERROR(+VLOOKUP(H108,'DISPOSITIVOS ACTIVOS'!B:D,3,FALSE),"IPHONE")</f>
        <v>Ipad</v>
      </c>
      <c r="V108" t="str">
        <f>IFERROR(+VLOOKUP(H108,'[1]Migracion feb25 Ver to ATT'!$B:$G,6,FALSE), "NO MIGRADO")</f>
        <v>NO MIGRADO</v>
      </c>
      <c r="W108" s="26">
        <v>15</v>
      </c>
    </row>
    <row r="109" spans="1:23" x14ac:dyDescent="0.3">
      <c r="A109" t="s">
        <v>1062</v>
      </c>
      <c r="B109" s="46" t="s">
        <v>22</v>
      </c>
      <c r="C109" s="46" t="s">
        <v>1063</v>
      </c>
      <c r="D109" s="46">
        <v>6</v>
      </c>
      <c r="E109" s="46">
        <v>2025</v>
      </c>
      <c r="F109" s="46">
        <v>9</v>
      </c>
      <c r="G109" s="50" t="s">
        <v>410</v>
      </c>
      <c r="H109" s="37" t="s">
        <v>491</v>
      </c>
      <c r="I109" s="50" t="s">
        <v>488</v>
      </c>
      <c r="J109" s="50" t="s">
        <v>1094</v>
      </c>
      <c r="K109" s="51" t="s">
        <v>527</v>
      </c>
      <c r="L109" s="50" t="s">
        <v>30</v>
      </c>
      <c r="M109" s="51" t="s">
        <v>1095</v>
      </c>
      <c r="N109" s="51" t="s">
        <v>1137</v>
      </c>
      <c r="O109" s="50"/>
      <c r="P109" s="82">
        <v>59.29</v>
      </c>
      <c r="Q109" s="39">
        <v>10145005</v>
      </c>
      <c r="R109" s="46"/>
      <c r="S109" s="46"/>
      <c r="T109" s="46"/>
      <c r="U109">
        <f>IFERROR(+VLOOKUP(H109,'DISPOSITIVOS ACTIVOS'!B:D,3,FALSE),"IPHONE")</f>
        <v>0</v>
      </c>
      <c r="V109" t="str">
        <f>IFERROR(+VLOOKUP(H109,'[1]Migracion feb25 Ver to ATT'!$B:$G,6,FALSE), "NO MIGRADO")</f>
        <v>NO MIGRADO</v>
      </c>
      <c r="W109" s="26">
        <v>25</v>
      </c>
    </row>
    <row r="110" spans="1:23" x14ac:dyDescent="0.3">
      <c r="A110" t="s">
        <v>1062</v>
      </c>
      <c r="B110" s="46" t="s">
        <v>22</v>
      </c>
      <c r="C110" s="46" t="s">
        <v>1063</v>
      </c>
      <c r="D110" s="46">
        <v>6</v>
      </c>
      <c r="E110" s="46">
        <v>2025</v>
      </c>
      <c r="F110" s="46">
        <v>9</v>
      </c>
      <c r="G110" s="47" t="s">
        <v>29</v>
      </c>
      <c r="H110" s="36" t="s">
        <v>28</v>
      </c>
      <c r="I110" s="47" t="s">
        <v>489</v>
      </c>
      <c r="J110" s="47" t="s">
        <v>30</v>
      </c>
      <c r="K110" s="48" t="s">
        <v>297</v>
      </c>
      <c r="L110" s="47" t="s">
        <v>30</v>
      </c>
      <c r="M110" s="48" t="s">
        <v>264</v>
      </c>
      <c r="N110" s="48" t="s">
        <v>30</v>
      </c>
      <c r="O110" s="47"/>
      <c r="P110" s="83">
        <v>18.75</v>
      </c>
      <c r="Q110" s="39">
        <v>10145003</v>
      </c>
      <c r="R110" s="46"/>
      <c r="S110" s="46"/>
      <c r="T110" s="46"/>
      <c r="U110" t="str">
        <f>IFERROR(+VLOOKUP(H110,'DISPOSITIVOS ACTIVOS'!B:D,3,FALSE),"IPHONE")</f>
        <v>no aplica</v>
      </c>
      <c r="V110" t="str">
        <f>IFERROR(+VLOOKUP(H110,'[1]Migracion feb25 Ver to ATT'!$B:$G,6,FALSE), "NO MIGRADO")</f>
        <v>NO MIGRADO</v>
      </c>
      <c r="W110" s="26">
        <v>25</v>
      </c>
    </row>
    <row r="111" spans="1:23" x14ac:dyDescent="0.3">
      <c r="A111" t="s">
        <v>1062</v>
      </c>
      <c r="B111" s="46" t="s">
        <v>22</v>
      </c>
      <c r="C111" s="46" t="s">
        <v>1063</v>
      </c>
      <c r="D111" s="46">
        <v>6</v>
      </c>
      <c r="E111" s="46">
        <v>2025</v>
      </c>
      <c r="F111" s="46">
        <v>9</v>
      </c>
      <c r="G111" s="50" t="s">
        <v>224</v>
      </c>
      <c r="H111" s="37" t="s">
        <v>223</v>
      </c>
      <c r="I111" s="50" t="s">
        <v>490</v>
      </c>
      <c r="J111" s="51" t="s">
        <v>1068</v>
      </c>
      <c r="K111" s="51" t="s">
        <v>304</v>
      </c>
      <c r="L111" s="50" t="s">
        <v>30</v>
      </c>
      <c r="M111" s="51" t="s">
        <v>1069</v>
      </c>
      <c r="N111" s="51" t="s">
        <v>1088</v>
      </c>
      <c r="O111" s="50"/>
      <c r="P111" s="82">
        <v>31.68</v>
      </c>
      <c r="Q111" s="39">
        <v>10145003</v>
      </c>
      <c r="R111" s="46"/>
      <c r="S111" s="46"/>
      <c r="T111" s="46"/>
      <c r="U111" t="str">
        <f>IFERROR(+VLOOKUP(H111,'DISPOSITIVOS ACTIVOS'!B:D,3,FALSE),"IPHONE")</f>
        <v>no aplica</v>
      </c>
      <c r="V111" t="str">
        <f>IFERROR(+VLOOKUP(H111,'[1]Migracion feb25 Ver to ATT'!$B:$G,6,FALSE), "NO MIGRADO")</f>
        <v>NO MIGRADO</v>
      </c>
      <c r="W111" s="26">
        <v>25</v>
      </c>
    </row>
    <row r="112" spans="1:23" x14ac:dyDescent="0.3">
      <c r="A112" t="s">
        <v>1062</v>
      </c>
      <c r="B112" s="46" t="s">
        <v>22</v>
      </c>
      <c r="C112" s="46" t="s">
        <v>1063</v>
      </c>
      <c r="D112" s="46">
        <v>6</v>
      </c>
      <c r="E112" s="46">
        <v>2025</v>
      </c>
      <c r="F112" s="46">
        <v>9</v>
      </c>
      <c r="G112" s="47" t="s">
        <v>226</v>
      </c>
      <c r="H112" s="36" t="s">
        <v>225</v>
      </c>
      <c r="I112" s="47" t="s">
        <v>492</v>
      </c>
      <c r="J112" s="47" t="s">
        <v>1068</v>
      </c>
      <c r="K112" s="48" t="s">
        <v>304</v>
      </c>
      <c r="L112" s="48" t="s">
        <v>30</v>
      </c>
      <c r="M112" s="48" t="s">
        <v>1069</v>
      </c>
      <c r="N112" s="48" t="s">
        <v>1088</v>
      </c>
      <c r="O112" s="47"/>
      <c r="P112" s="83">
        <v>31.68</v>
      </c>
      <c r="Q112" s="39">
        <v>10145003</v>
      </c>
      <c r="R112" s="46"/>
      <c r="S112" s="46"/>
      <c r="T112" s="46"/>
      <c r="U112" t="str">
        <f>IFERROR(+VLOOKUP(H112,'DISPOSITIVOS ACTIVOS'!B:D,3,FALSE),"IPHONE")</f>
        <v>no aplica</v>
      </c>
      <c r="V112" t="str">
        <f>IFERROR(+VLOOKUP(H112,'[1]Migracion feb25 Ver to ATT'!$B:$G,6,FALSE), "NO MIGRADO")</f>
        <v>NO MIGRADO</v>
      </c>
      <c r="W112" s="26">
        <v>25</v>
      </c>
    </row>
    <row r="113" spans="1:23" x14ac:dyDescent="0.3">
      <c r="A113" t="s">
        <v>1062</v>
      </c>
      <c r="B113" s="46" t="s">
        <v>22</v>
      </c>
      <c r="C113" s="46" t="s">
        <v>1063</v>
      </c>
      <c r="D113" s="46">
        <v>6</v>
      </c>
      <c r="E113" s="46">
        <v>2025</v>
      </c>
      <c r="F113" s="46">
        <v>9</v>
      </c>
      <c r="G113" s="50" t="s">
        <v>228</v>
      </c>
      <c r="H113" s="37" t="s">
        <v>227</v>
      </c>
      <c r="I113" s="50" t="s">
        <v>495</v>
      </c>
      <c r="J113" s="51" t="s">
        <v>1068</v>
      </c>
      <c r="K113" s="51" t="s">
        <v>304</v>
      </c>
      <c r="L113" s="50" t="s">
        <v>30</v>
      </c>
      <c r="M113" s="51" t="s">
        <v>1069</v>
      </c>
      <c r="N113" s="51" t="s">
        <v>1088</v>
      </c>
      <c r="O113" s="50"/>
      <c r="P113" s="82">
        <v>31.68</v>
      </c>
      <c r="Q113" s="39">
        <v>10145003</v>
      </c>
      <c r="R113" s="46"/>
      <c r="S113" s="46"/>
      <c r="T113" s="46"/>
      <c r="U113" t="str">
        <f>IFERROR(+VLOOKUP(H113,'DISPOSITIVOS ACTIVOS'!B:D,3,FALSE),"IPHONE")</f>
        <v>no aplica</v>
      </c>
      <c r="V113" t="str">
        <f>IFERROR(+VLOOKUP(H113,'[1]Migracion feb25 Ver to ATT'!$B:$G,6,FALSE), "NO MIGRADO")</f>
        <v>NO MIGRADO</v>
      </c>
      <c r="W113" s="26">
        <v>25</v>
      </c>
    </row>
    <row r="114" spans="1:23" x14ac:dyDescent="0.3">
      <c r="A114" t="s">
        <v>1062</v>
      </c>
      <c r="B114" s="46" t="s">
        <v>22</v>
      </c>
      <c r="C114" s="46" t="s">
        <v>1063</v>
      </c>
      <c r="D114" s="46">
        <v>6</v>
      </c>
      <c r="E114" s="46">
        <v>2025</v>
      </c>
      <c r="F114" s="46">
        <v>9</v>
      </c>
      <c r="G114" s="47" t="s">
        <v>29</v>
      </c>
      <c r="H114" s="36" t="s">
        <v>31</v>
      </c>
      <c r="I114" s="47" t="s">
        <v>497</v>
      </c>
      <c r="J114" s="47" t="s">
        <v>30</v>
      </c>
      <c r="K114" s="48" t="s">
        <v>297</v>
      </c>
      <c r="L114" s="48" t="s">
        <v>30</v>
      </c>
      <c r="M114" s="48" t="s">
        <v>264</v>
      </c>
      <c r="N114" s="48" t="s">
        <v>30</v>
      </c>
      <c r="O114" s="47"/>
      <c r="P114" s="83">
        <v>18.75</v>
      </c>
      <c r="Q114" s="39">
        <v>10145003</v>
      </c>
      <c r="R114" s="46"/>
      <c r="S114" s="46"/>
      <c r="T114" s="46"/>
      <c r="U114" t="str">
        <f>IFERROR(+VLOOKUP(H114,'DISPOSITIVOS ACTIVOS'!B:D,3,FALSE),"IPHONE")</f>
        <v>no aplica</v>
      </c>
      <c r="V114" t="str">
        <f>IFERROR(+VLOOKUP(H114,'[1]Migracion feb25 Ver to ATT'!$B:$G,6,FALSE), "NO MIGRADO")</f>
        <v>NO MIGRADO</v>
      </c>
      <c r="W114" s="26">
        <v>25</v>
      </c>
    </row>
    <row r="115" spans="1:23" x14ac:dyDescent="0.3">
      <c r="A115" t="s">
        <v>1062</v>
      </c>
      <c r="B115" s="46" t="s">
        <v>22</v>
      </c>
      <c r="C115" s="46" t="s">
        <v>1063</v>
      </c>
      <c r="D115" s="46">
        <v>6</v>
      </c>
      <c r="E115" s="46">
        <v>2025</v>
      </c>
      <c r="F115" s="46">
        <v>9</v>
      </c>
      <c r="G115" s="50" t="s">
        <v>230</v>
      </c>
      <c r="H115" s="37" t="s">
        <v>229</v>
      </c>
      <c r="I115" s="50" t="s">
        <v>499</v>
      </c>
      <c r="J115" s="50" t="s">
        <v>1068</v>
      </c>
      <c r="K115" s="51" t="s">
        <v>304</v>
      </c>
      <c r="L115" s="50" t="s">
        <v>30</v>
      </c>
      <c r="M115" s="51" t="s">
        <v>1069</v>
      </c>
      <c r="N115" s="50" t="s">
        <v>1088</v>
      </c>
      <c r="O115" s="50"/>
      <c r="P115" s="82">
        <v>31.68</v>
      </c>
      <c r="Q115" s="39">
        <v>10145003</v>
      </c>
      <c r="R115" s="46"/>
      <c r="S115" s="46"/>
      <c r="T115" s="46"/>
      <c r="U115" t="str">
        <f>IFERROR(+VLOOKUP(H115,'DISPOSITIVOS ACTIVOS'!B:D,3,FALSE),"IPHONE")</f>
        <v>no aplica</v>
      </c>
      <c r="V115" t="str">
        <f>IFERROR(+VLOOKUP(H115,'[1]Migracion feb25 Ver to ATT'!$B:$G,6,FALSE), "NO MIGRADO")</f>
        <v>NO MIGRADO</v>
      </c>
      <c r="W115" s="26">
        <v>25</v>
      </c>
    </row>
    <row r="116" spans="1:23" x14ac:dyDescent="0.3">
      <c r="A116" t="s">
        <v>1062</v>
      </c>
      <c r="B116" s="46" t="s">
        <v>22</v>
      </c>
      <c r="C116" s="46" t="s">
        <v>1063</v>
      </c>
      <c r="D116" s="46">
        <v>6</v>
      </c>
      <c r="E116" s="46">
        <v>2025</v>
      </c>
      <c r="F116" s="46">
        <v>9</v>
      </c>
      <c r="G116" s="47" t="s">
        <v>29</v>
      </c>
      <c r="H116" s="36" t="s">
        <v>32</v>
      </c>
      <c r="I116" s="47" t="s">
        <v>500</v>
      </c>
      <c r="J116" s="47"/>
      <c r="K116" s="48" t="s">
        <v>297</v>
      </c>
      <c r="L116" s="47" t="s">
        <v>30</v>
      </c>
      <c r="M116" s="48" t="s">
        <v>264</v>
      </c>
      <c r="N116" s="48" t="s">
        <v>30</v>
      </c>
      <c r="O116" s="47"/>
      <c r="P116" s="83">
        <v>18.75</v>
      </c>
      <c r="Q116" s="39">
        <v>10145003</v>
      </c>
      <c r="R116" s="46"/>
      <c r="S116" s="46"/>
      <c r="T116" s="46"/>
      <c r="U116" t="str">
        <f>IFERROR(+VLOOKUP(H116,'DISPOSITIVOS ACTIVOS'!B:D,3,FALSE),"IPHONE")</f>
        <v>no aplica</v>
      </c>
      <c r="V116" t="str">
        <f>IFERROR(+VLOOKUP(H116,'[1]Migracion feb25 Ver to ATT'!$B:$G,6,FALSE), "NO MIGRADO")</f>
        <v>NO MIGRADO</v>
      </c>
      <c r="W116" s="26">
        <v>25</v>
      </c>
    </row>
    <row r="117" spans="1:23" x14ac:dyDescent="0.3">
      <c r="A117" t="s">
        <v>1062</v>
      </c>
      <c r="B117" s="46" t="s">
        <v>22</v>
      </c>
      <c r="C117" s="46" t="s">
        <v>1063</v>
      </c>
      <c r="D117" s="46">
        <v>6</v>
      </c>
      <c r="E117" s="46">
        <v>2025</v>
      </c>
      <c r="F117" s="46">
        <v>9</v>
      </c>
      <c r="G117" s="50" t="s">
        <v>234</v>
      </c>
      <c r="H117" s="37" t="s">
        <v>233</v>
      </c>
      <c r="I117" s="50" t="s">
        <v>501</v>
      </c>
      <c r="J117" s="50" t="s">
        <v>1068</v>
      </c>
      <c r="K117" s="51" t="s">
        <v>304</v>
      </c>
      <c r="L117" s="50" t="s">
        <v>288</v>
      </c>
      <c r="M117" s="51" t="s">
        <v>1069</v>
      </c>
      <c r="N117" s="51" t="s">
        <v>1083</v>
      </c>
      <c r="O117" s="50"/>
      <c r="P117" s="82">
        <v>41.74</v>
      </c>
      <c r="Q117" s="39">
        <v>60311005</v>
      </c>
      <c r="R117" s="46" t="s">
        <v>1065</v>
      </c>
      <c r="S117" s="46" t="s">
        <v>1100</v>
      </c>
      <c r="T117" s="46" t="s">
        <v>1117</v>
      </c>
      <c r="U117" t="str">
        <f>IFERROR(+VLOOKUP(H117,'DISPOSITIVOS ACTIVOS'!B:D,3,FALSE),"IPHONE")</f>
        <v>Iphone</v>
      </c>
      <c r="V117" t="str">
        <f>IFERROR(+VLOOKUP(H117,'[1]Migracion feb25 Ver to ATT'!$B:$G,6,FALSE), "NO MIGRADO")</f>
        <v>NO MIGRADO</v>
      </c>
      <c r="W117" s="26">
        <v>25</v>
      </c>
    </row>
    <row r="118" spans="1:23" x14ac:dyDescent="0.3">
      <c r="A118" t="s">
        <v>1062</v>
      </c>
      <c r="B118" s="46" t="s">
        <v>22</v>
      </c>
      <c r="C118" s="46" t="s">
        <v>1063</v>
      </c>
      <c r="D118" s="46">
        <v>6</v>
      </c>
      <c r="E118" s="46">
        <v>2025</v>
      </c>
      <c r="F118" s="46">
        <v>9</v>
      </c>
      <c r="G118" s="47" t="s">
        <v>236</v>
      </c>
      <c r="H118" s="36" t="s">
        <v>235</v>
      </c>
      <c r="I118" s="47" t="s">
        <v>502</v>
      </c>
      <c r="J118" s="47" t="s">
        <v>1091</v>
      </c>
      <c r="K118" s="48" t="s">
        <v>527</v>
      </c>
      <c r="L118" s="47" t="s">
        <v>30</v>
      </c>
      <c r="M118" s="48" t="s">
        <v>1092</v>
      </c>
      <c r="N118" s="48" t="s">
        <v>1132</v>
      </c>
      <c r="O118" s="47"/>
      <c r="P118" s="83">
        <v>50.71</v>
      </c>
      <c r="Q118" s="39">
        <v>60311005</v>
      </c>
      <c r="R118" s="46" t="s">
        <v>1065</v>
      </c>
      <c r="S118" s="46" t="s">
        <v>1066</v>
      </c>
      <c r="T118" s="46" t="s">
        <v>1067</v>
      </c>
      <c r="U118" t="str">
        <f>IFERROR(+VLOOKUP(H118,'DISPOSITIVOS ACTIVOS'!B:D,3,FALSE),"IPHONE")</f>
        <v>Iphone</v>
      </c>
      <c r="V118" t="str">
        <f>IFERROR(+VLOOKUP(H118,'[1]Migracion feb25 Ver to ATT'!$B:$G,6,FALSE), "NO MIGRADO")</f>
        <v>Iphone</v>
      </c>
      <c r="W118" s="26">
        <v>15</v>
      </c>
    </row>
    <row r="119" spans="1:23" x14ac:dyDescent="0.3">
      <c r="A119" t="s">
        <v>1062</v>
      </c>
      <c r="B119" s="46" t="s">
        <v>22</v>
      </c>
      <c r="C119" s="46" t="s">
        <v>1063</v>
      </c>
      <c r="D119" s="46">
        <v>6</v>
      </c>
      <c r="E119" s="46">
        <v>2025</v>
      </c>
      <c r="F119" s="46">
        <v>9</v>
      </c>
      <c r="G119" s="50" t="s">
        <v>238</v>
      </c>
      <c r="H119" s="37" t="s">
        <v>237</v>
      </c>
      <c r="I119" s="50" t="s">
        <v>503</v>
      </c>
      <c r="J119" s="51"/>
      <c r="K119" s="51" t="s">
        <v>297</v>
      </c>
      <c r="L119" s="50" t="s">
        <v>30</v>
      </c>
      <c r="M119" s="51" t="s">
        <v>264</v>
      </c>
      <c r="N119" s="51" t="s">
        <v>30</v>
      </c>
      <c r="O119" s="50"/>
      <c r="P119" s="82">
        <v>18.75</v>
      </c>
      <c r="Q119" s="39">
        <v>60311003</v>
      </c>
      <c r="R119" s="46" t="s">
        <v>1065</v>
      </c>
      <c r="S119" s="46" t="s">
        <v>1066</v>
      </c>
      <c r="T119" s="46" t="s">
        <v>1067</v>
      </c>
      <c r="U119" t="str">
        <f>IFERROR(+VLOOKUP(H119,'DISPOSITIVOS ACTIVOS'!B:D,3,FALSE),"IPHONE")</f>
        <v>Ipad</v>
      </c>
      <c r="V119" t="str">
        <f>IFERROR(+VLOOKUP(H119,'[1]Migracion feb25 Ver to ATT'!$B:$G,6,FALSE), "NO MIGRADO")</f>
        <v>NO MIGRADO</v>
      </c>
      <c r="W119" s="26">
        <v>15</v>
      </c>
    </row>
    <row r="120" spans="1:23" x14ac:dyDescent="0.3">
      <c r="A120" t="s">
        <v>1062</v>
      </c>
      <c r="B120" s="46" t="s">
        <v>22</v>
      </c>
      <c r="C120" s="46" t="s">
        <v>1063</v>
      </c>
      <c r="D120" s="46">
        <v>6</v>
      </c>
      <c r="E120" s="46">
        <v>2025</v>
      </c>
      <c r="F120" s="46">
        <v>9</v>
      </c>
      <c r="G120" s="47" t="s">
        <v>240</v>
      </c>
      <c r="H120" s="36" t="s">
        <v>239</v>
      </c>
      <c r="I120" s="47" t="s">
        <v>504</v>
      </c>
      <c r="J120" s="47" t="s">
        <v>1091</v>
      </c>
      <c r="K120" s="48" t="s">
        <v>527</v>
      </c>
      <c r="L120" s="48" t="s">
        <v>30</v>
      </c>
      <c r="M120" s="48" t="s">
        <v>1092</v>
      </c>
      <c r="N120" s="48" t="s">
        <v>1132</v>
      </c>
      <c r="O120" s="47"/>
      <c r="P120" s="83">
        <v>50.71</v>
      </c>
      <c r="Q120" s="39">
        <v>60311005</v>
      </c>
      <c r="R120" s="46" t="s">
        <v>1065</v>
      </c>
      <c r="S120" s="46" t="s">
        <v>1066</v>
      </c>
      <c r="T120" s="46" t="s">
        <v>1122</v>
      </c>
      <c r="U120" t="str">
        <f>IFERROR(+VLOOKUP(H120,'DISPOSITIVOS ACTIVOS'!B:D,3,FALSE),"IPHONE")</f>
        <v>Iphone</v>
      </c>
      <c r="V120" t="str">
        <f>IFERROR(+VLOOKUP(H120,'[1]Migracion feb25 Ver to ATT'!$B:$G,6,FALSE), "NO MIGRADO")</f>
        <v>Iphone</v>
      </c>
      <c r="W120" s="26">
        <v>15</v>
      </c>
    </row>
    <row r="121" spans="1:23" x14ac:dyDescent="0.3">
      <c r="A121" t="s">
        <v>1062</v>
      </c>
      <c r="B121" s="46" t="s">
        <v>22</v>
      </c>
      <c r="C121" s="46" t="s">
        <v>1063</v>
      </c>
      <c r="D121" s="46">
        <v>6</v>
      </c>
      <c r="E121" s="46">
        <v>2025</v>
      </c>
      <c r="F121" s="46">
        <v>9</v>
      </c>
      <c r="G121" s="50" t="s">
        <v>242</v>
      </c>
      <c r="H121" s="37" t="s">
        <v>241</v>
      </c>
      <c r="I121" s="50" t="s">
        <v>505</v>
      </c>
      <c r="J121" s="51" t="s">
        <v>1068</v>
      </c>
      <c r="K121" s="51" t="s">
        <v>304</v>
      </c>
      <c r="L121" s="50" t="s">
        <v>30</v>
      </c>
      <c r="M121" s="51" t="s">
        <v>1069</v>
      </c>
      <c r="N121" s="51" t="s">
        <v>1083</v>
      </c>
      <c r="O121" s="50"/>
      <c r="P121" s="82">
        <v>36.74</v>
      </c>
      <c r="Q121" s="39">
        <v>60311005</v>
      </c>
      <c r="R121" s="46" t="s">
        <v>1079</v>
      </c>
      <c r="S121" s="46" t="s">
        <v>1080</v>
      </c>
      <c r="T121" s="46" t="s">
        <v>1104</v>
      </c>
      <c r="U121" t="str">
        <f>IFERROR(+VLOOKUP(H121,'DISPOSITIVOS ACTIVOS'!B:D,3,FALSE),"IPHONE")</f>
        <v>Galaxy</v>
      </c>
      <c r="V121" t="str">
        <f>IFERROR(+VLOOKUP(H121,'[1]Migracion feb25 Ver to ATT'!$B:$G,6,FALSE), "NO MIGRADO")</f>
        <v>NO MIGRADO</v>
      </c>
      <c r="W121" s="26">
        <v>25</v>
      </c>
    </row>
    <row r="122" spans="1:23" x14ac:dyDescent="0.3">
      <c r="A122" t="s">
        <v>1062</v>
      </c>
      <c r="B122" s="46" t="s">
        <v>22</v>
      </c>
      <c r="C122" s="46" t="s">
        <v>1063</v>
      </c>
      <c r="D122" s="46">
        <v>6</v>
      </c>
      <c r="E122" s="46">
        <v>2025</v>
      </c>
      <c r="F122" s="46">
        <v>9</v>
      </c>
      <c r="G122" s="47" t="s">
        <v>244</v>
      </c>
      <c r="H122" s="36" t="s">
        <v>243</v>
      </c>
      <c r="I122" s="47" t="s">
        <v>506</v>
      </c>
      <c r="J122" s="47" t="s">
        <v>1091</v>
      </c>
      <c r="K122" s="48" t="s">
        <v>527</v>
      </c>
      <c r="L122" s="48" t="s">
        <v>30</v>
      </c>
      <c r="M122" s="48" t="s">
        <v>1092</v>
      </c>
      <c r="N122" s="48" t="s">
        <v>1093</v>
      </c>
      <c r="O122" s="47"/>
      <c r="P122" s="83">
        <v>50.66</v>
      </c>
      <c r="Q122" s="39">
        <v>60311005</v>
      </c>
      <c r="R122" s="46" t="s">
        <v>1079</v>
      </c>
      <c r="S122" s="46" t="s">
        <v>1080</v>
      </c>
      <c r="T122" s="46" t="s">
        <v>1097</v>
      </c>
      <c r="U122" t="str">
        <f>IFERROR(+VLOOKUP(H122,'DISPOSITIVOS ACTIVOS'!B:D,3,FALSE),"IPHONE")</f>
        <v xml:space="preserve">Galaxy </v>
      </c>
      <c r="V122" t="str">
        <f>IFERROR(+VLOOKUP(H122,'[1]Migracion feb25 Ver to ATT'!$B:$G,6,FALSE), "NO MIGRADO")</f>
        <v xml:space="preserve">Galaxy </v>
      </c>
      <c r="W122" s="26">
        <v>15</v>
      </c>
    </row>
    <row r="123" spans="1:23" x14ac:dyDescent="0.3">
      <c r="A123" t="s">
        <v>1062</v>
      </c>
      <c r="B123" s="46" t="s">
        <v>22</v>
      </c>
      <c r="C123" s="46" t="s">
        <v>1063</v>
      </c>
      <c r="D123" s="46">
        <v>6</v>
      </c>
      <c r="E123" s="46">
        <v>2025</v>
      </c>
      <c r="F123" s="46">
        <v>9</v>
      </c>
      <c r="G123" s="87" t="s">
        <v>246</v>
      </c>
      <c r="H123" s="88" t="s">
        <v>245</v>
      </c>
      <c r="I123" s="50" t="s">
        <v>507</v>
      </c>
      <c r="J123" s="50"/>
      <c r="K123" s="51"/>
      <c r="L123" s="50" t="s">
        <v>288</v>
      </c>
      <c r="M123" s="51" t="s">
        <v>30</v>
      </c>
      <c r="N123" s="50" t="s">
        <v>30</v>
      </c>
      <c r="O123" s="50"/>
      <c r="P123" s="82">
        <v>5</v>
      </c>
      <c r="Q123" s="39">
        <v>60311005</v>
      </c>
      <c r="R123" s="46" t="s">
        <v>1065</v>
      </c>
      <c r="S123" s="46" t="s">
        <v>1066</v>
      </c>
      <c r="T123" s="46" t="s">
        <v>1067</v>
      </c>
      <c r="U123" t="str">
        <f>IFERROR(+VLOOKUP(H123,'DISPOSITIVOS ACTIVOS'!B:D,3,FALSE),"IPHONE")</f>
        <v>IPHONE</v>
      </c>
      <c r="V123" t="str">
        <f>IFERROR(+VLOOKUP(H123,'[1]Migracion feb25 Ver to ATT'!$B:$G,6,FALSE), "NO MIGRADO")</f>
        <v>NO MIGRADO</v>
      </c>
      <c r="W123" s="26">
        <v>25</v>
      </c>
    </row>
    <row r="124" spans="1:23" x14ac:dyDescent="0.3">
      <c r="A124" t="s">
        <v>1062</v>
      </c>
      <c r="B124" s="46" t="s">
        <v>22</v>
      </c>
      <c r="C124" s="46" t="s">
        <v>1063</v>
      </c>
      <c r="D124" s="46">
        <v>6</v>
      </c>
      <c r="E124" s="46">
        <v>2025</v>
      </c>
      <c r="F124" s="46">
        <v>9</v>
      </c>
      <c r="G124" s="47" t="s">
        <v>34</v>
      </c>
      <c r="H124" s="36" t="s">
        <v>33</v>
      </c>
      <c r="I124" s="47" t="s">
        <v>508</v>
      </c>
      <c r="J124" s="47" t="s">
        <v>1068</v>
      </c>
      <c r="K124" s="48" t="s">
        <v>304</v>
      </c>
      <c r="L124" s="47" t="s">
        <v>514</v>
      </c>
      <c r="M124" s="48" t="s">
        <v>1069</v>
      </c>
      <c r="N124" s="48" t="s">
        <v>1083</v>
      </c>
      <c r="O124" s="47"/>
      <c r="P124" s="83">
        <v>35.950000000000003</v>
      </c>
      <c r="Q124" s="39">
        <v>60311005</v>
      </c>
      <c r="R124" s="46" t="s">
        <v>1065</v>
      </c>
      <c r="S124" s="46" t="s">
        <v>1066</v>
      </c>
      <c r="T124" s="46" t="s">
        <v>1085</v>
      </c>
      <c r="U124" t="str">
        <f>IFERROR(+VLOOKUP(H124,'DISPOSITIVOS ACTIVOS'!B:D,3,FALSE),"IPHONE")</f>
        <v>Iphone</v>
      </c>
      <c r="V124" t="str">
        <f>IFERROR(+VLOOKUP(H124,'[1]Migracion feb25 Ver to ATT'!$B:$G,6,FALSE), "NO MIGRADO")</f>
        <v>NO MIGRADO</v>
      </c>
      <c r="W124" s="26">
        <v>25</v>
      </c>
    </row>
    <row r="125" spans="1:23" x14ac:dyDescent="0.3">
      <c r="A125" t="s">
        <v>1062</v>
      </c>
      <c r="B125" s="46" t="s">
        <v>22</v>
      </c>
      <c r="C125" s="46" t="s">
        <v>1063</v>
      </c>
      <c r="D125" s="46">
        <v>6</v>
      </c>
      <c r="E125" s="46">
        <v>2025</v>
      </c>
      <c r="F125" s="46">
        <v>9</v>
      </c>
      <c r="G125" s="50" t="s">
        <v>54</v>
      </c>
      <c r="H125" s="37" t="s">
        <v>53</v>
      </c>
      <c r="I125" s="50" t="s">
        <v>509</v>
      </c>
      <c r="J125" s="50"/>
      <c r="K125" s="51" t="s">
        <v>297</v>
      </c>
      <c r="L125" s="50" t="s">
        <v>30</v>
      </c>
      <c r="M125" s="51" t="s">
        <v>264</v>
      </c>
      <c r="N125" s="51" t="s">
        <v>30</v>
      </c>
      <c r="O125" s="50"/>
      <c r="P125" s="82">
        <v>18.75</v>
      </c>
      <c r="Q125" s="39">
        <v>60311003</v>
      </c>
      <c r="R125" s="46" t="s">
        <v>1065</v>
      </c>
      <c r="S125" s="46" t="s">
        <v>1066</v>
      </c>
      <c r="T125" s="46" t="s">
        <v>1085</v>
      </c>
      <c r="U125" t="str">
        <f>IFERROR(+VLOOKUP(H125,'DISPOSITIVOS ACTIVOS'!B:D,3,FALSE),"IPHONE")</f>
        <v>Ipad</v>
      </c>
      <c r="V125" t="str">
        <f>IFERROR(+VLOOKUP(H125,'[1]Migracion feb25 Ver to ATT'!$B:$G,6,FALSE), "NO MIGRADO")</f>
        <v>NO MIGRADO</v>
      </c>
      <c r="W125" s="26">
        <v>15</v>
      </c>
    </row>
    <row r="126" spans="1:23" x14ac:dyDescent="0.3">
      <c r="A126" t="s">
        <v>1062</v>
      </c>
      <c r="B126" s="46" t="s">
        <v>22</v>
      </c>
      <c r="C126" s="46" t="s">
        <v>1063</v>
      </c>
      <c r="D126" s="46">
        <v>6</v>
      </c>
      <c r="E126" s="46">
        <v>2025</v>
      </c>
      <c r="F126" s="46">
        <v>9</v>
      </c>
      <c r="G126" s="47" t="s">
        <v>248</v>
      </c>
      <c r="H126" s="36" t="s">
        <v>247</v>
      </c>
      <c r="I126" s="47" t="s">
        <v>510</v>
      </c>
      <c r="J126" s="47" t="s">
        <v>1091</v>
      </c>
      <c r="K126" s="48" t="s">
        <v>527</v>
      </c>
      <c r="L126" s="47" t="s">
        <v>30</v>
      </c>
      <c r="M126" s="48" t="s">
        <v>1092</v>
      </c>
      <c r="N126" s="48" t="s">
        <v>1093</v>
      </c>
      <c r="O126" s="47"/>
      <c r="P126" s="83">
        <v>50.66</v>
      </c>
      <c r="Q126" s="39">
        <v>60311005</v>
      </c>
      <c r="R126" s="46" t="s">
        <v>1079</v>
      </c>
      <c r="S126" s="46" t="s">
        <v>1080</v>
      </c>
      <c r="T126" s="46" t="s">
        <v>1081</v>
      </c>
      <c r="U126" t="str">
        <f>IFERROR(+VLOOKUP(H126,'DISPOSITIVOS ACTIVOS'!B:D,3,FALSE),"IPHONE")</f>
        <v xml:space="preserve">Galaxy </v>
      </c>
      <c r="V126" t="str">
        <f>IFERROR(+VLOOKUP(H126,'[1]Migracion feb25 Ver to ATT'!$B:$G,6,FALSE), "NO MIGRADO")</f>
        <v xml:space="preserve">Galaxy </v>
      </c>
      <c r="W126" s="26">
        <v>15</v>
      </c>
    </row>
    <row r="127" spans="1:23" x14ac:dyDescent="0.3">
      <c r="A127" t="s">
        <v>1062</v>
      </c>
      <c r="B127" s="46" t="s">
        <v>22</v>
      </c>
      <c r="C127" s="46" t="s">
        <v>1063</v>
      </c>
      <c r="D127" s="46">
        <v>6</v>
      </c>
      <c r="E127" s="46">
        <v>2025</v>
      </c>
      <c r="F127" s="46">
        <v>9</v>
      </c>
      <c r="G127" s="50" t="s">
        <v>250</v>
      </c>
      <c r="H127" s="37" t="s">
        <v>249</v>
      </c>
      <c r="I127" s="50" t="s">
        <v>511</v>
      </c>
      <c r="J127" s="51" t="s">
        <v>1068</v>
      </c>
      <c r="K127" s="51" t="s">
        <v>304</v>
      </c>
      <c r="L127" s="50" t="s">
        <v>30</v>
      </c>
      <c r="M127" s="51" t="s">
        <v>1069</v>
      </c>
      <c r="N127" s="51" t="s">
        <v>1083</v>
      </c>
      <c r="O127" s="50"/>
      <c r="P127" s="82">
        <v>36.74</v>
      </c>
      <c r="Q127" s="39">
        <v>60311005</v>
      </c>
      <c r="R127" s="46" t="s">
        <v>1065</v>
      </c>
      <c r="S127" s="46" t="s">
        <v>1066</v>
      </c>
      <c r="T127" s="46" t="s">
        <v>1084</v>
      </c>
      <c r="U127" t="str">
        <f>IFERROR(+VLOOKUP(H127,'DISPOSITIVOS ACTIVOS'!B:D,3,FALSE),"IPHONE")</f>
        <v>Iphone</v>
      </c>
      <c r="V127" t="str">
        <f>IFERROR(+VLOOKUP(H127,'[1]Migracion feb25 Ver to ATT'!$B:$G,6,FALSE), "NO MIGRADO")</f>
        <v>NO MIGRADO</v>
      </c>
      <c r="W127" s="26">
        <v>25</v>
      </c>
    </row>
    <row r="128" spans="1:23" x14ac:dyDescent="0.3">
      <c r="A128" t="s">
        <v>1062</v>
      </c>
      <c r="B128" s="46" t="s">
        <v>22</v>
      </c>
      <c r="C128" s="46" t="s">
        <v>1063</v>
      </c>
      <c r="D128" s="46">
        <v>6</v>
      </c>
      <c r="E128" s="46">
        <v>2025</v>
      </c>
      <c r="F128" s="46">
        <v>9</v>
      </c>
      <c r="G128" s="47" t="s">
        <v>252</v>
      </c>
      <c r="H128" s="36" t="s">
        <v>251</v>
      </c>
      <c r="I128" s="47" t="s">
        <v>512</v>
      </c>
      <c r="J128" s="47" t="s">
        <v>1091</v>
      </c>
      <c r="K128" s="48" t="s">
        <v>527</v>
      </c>
      <c r="L128" s="48" t="s">
        <v>30</v>
      </c>
      <c r="M128" s="48" t="s">
        <v>1092</v>
      </c>
      <c r="N128" s="48" t="s">
        <v>1093</v>
      </c>
      <c r="O128" s="47"/>
      <c r="P128" s="83">
        <v>50.66</v>
      </c>
      <c r="Q128" s="39">
        <v>60311005</v>
      </c>
      <c r="R128" s="46" t="s">
        <v>1079</v>
      </c>
      <c r="S128" s="46" t="s">
        <v>1080</v>
      </c>
      <c r="T128" s="46" t="s">
        <v>1134</v>
      </c>
      <c r="U128" t="str">
        <f>IFERROR(+VLOOKUP(H128,'DISPOSITIVOS ACTIVOS'!B:D,3,FALSE),"IPHONE")</f>
        <v xml:space="preserve">Galaxy </v>
      </c>
      <c r="V128" t="str">
        <f>IFERROR(+VLOOKUP(H128,'[1]Migracion feb25 Ver to ATT'!$B:$G,6,FALSE), "NO MIGRADO")</f>
        <v xml:space="preserve">Galaxy </v>
      </c>
      <c r="W128" s="26">
        <v>15</v>
      </c>
    </row>
    <row r="129" spans="1:23" x14ac:dyDescent="0.3">
      <c r="A129" t="s">
        <v>1062</v>
      </c>
      <c r="B129" s="46" t="s">
        <v>22</v>
      </c>
      <c r="C129" s="46" t="s">
        <v>1063</v>
      </c>
      <c r="D129" s="46">
        <v>6</v>
      </c>
      <c r="E129" s="46">
        <v>2025</v>
      </c>
      <c r="F129" s="46">
        <v>9</v>
      </c>
      <c r="G129" s="50" t="s">
        <v>254</v>
      </c>
      <c r="H129" s="37" t="s">
        <v>253</v>
      </c>
      <c r="I129" s="50" t="s">
        <v>517</v>
      </c>
      <c r="J129" s="51" t="s">
        <v>1091</v>
      </c>
      <c r="K129" s="51" t="s">
        <v>527</v>
      </c>
      <c r="L129" s="50" t="s">
        <v>30</v>
      </c>
      <c r="M129" s="51" t="s">
        <v>1092</v>
      </c>
      <c r="N129" s="51" t="s">
        <v>1093</v>
      </c>
      <c r="O129" s="50"/>
      <c r="P129" s="82">
        <v>50.66</v>
      </c>
      <c r="Q129" s="39">
        <v>60311005</v>
      </c>
      <c r="R129" s="46" t="s">
        <v>1079</v>
      </c>
      <c r="S129" s="46" t="s">
        <v>1080</v>
      </c>
      <c r="T129" s="46" t="s">
        <v>1097</v>
      </c>
      <c r="U129" t="str">
        <f>IFERROR(+VLOOKUP(H129,'DISPOSITIVOS ACTIVOS'!B:D,3,FALSE),"IPHONE")</f>
        <v xml:space="preserve">Galaxy </v>
      </c>
      <c r="V129" t="str">
        <f>IFERROR(+VLOOKUP(H129,'[1]Migracion feb25 Ver to ATT'!$B:$G,6,FALSE), "NO MIGRADO")</f>
        <v xml:space="preserve">Galaxy </v>
      </c>
      <c r="W129" s="26">
        <v>15</v>
      </c>
    </row>
    <row r="130" spans="1:23" x14ac:dyDescent="0.3">
      <c r="A130" t="s">
        <v>1062</v>
      </c>
      <c r="B130" s="46" t="s">
        <v>22</v>
      </c>
      <c r="C130" s="46" t="s">
        <v>1063</v>
      </c>
      <c r="D130" s="46">
        <v>6</v>
      </c>
      <c r="E130" s="46">
        <v>2025</v>
      </c>
      <c r="F130" s="46">
        <v>9</v>
      </c>
      <c r="G130" s="47" t="s">
        <v>256</v>
      </c>
      <c r="H130" s="36" t="s">
        <v>255</v>
      </c>
      <c r="I130" s="47" t="s">
        <v>518</v>
      </c>
      <c r="J130" s="47" t="s">
        <v>1068</v>
      </c>
      <c r="K130" s="48" t="s">
        <v>304</v>
      </c>
      <c r="L130" s="48" t="s">
        <v>318</v>
      </c>
      <c r="M130" s="48" t="s">
        <v>1069</v>
      </c>
      <c r="N130" s="48" t="s">
        <v>1083</v>
      </c>
      <c r="O130" s="47"/>
      <c r="P130" s="83">
        <v>42.73</v>
      </c>
      <c r="Q130" s="39">
        <v>60311005</v>
      </c>
      <c r="R130" s="46" t="s">
        <v>1065</v>
      </c>
      <c r="S130" s="46" t="s">
        <v>1066</v>
      </c>
      <c r="T130" s="46" t="s">
        <v>1084</v>
      </c>
      <c r="U130" t="str">
        <f>IFERROR(+VLOOKUP(H130,'DISPOSITIVOS ACTIVOS'!B:D,3,FALSE),"IPHONE")</f>
        <v>Iphone</v>
      </c>
      <c r="V130" t="str">
        <f>IFERROR(+VLOOKUP(H130,'[1]Migracion feb25 Ver to ATT'!$B:$G,6,FALSE), "NO MIGRADO")</f>
        <v>NO MIGRADO</v>
      </c>
      <c r="W130" s="26">
        <v>25</v>
      </c>
    </row>
    <row r="131" spans="1:23" x14ac:dyDescent="0.3">
      <c r="A131" s="91" t="s">
        <v>1062</v>
      </c>
      <c r="B131" s="92" t="s">
        <v>22</v>
      </c>
      <c r="C131" s="92" t="s">
        <v>1063</v>
      </c>
      <c r="D131" s="92">
        <v>6</v>
      </c>
      <c r="E131" s="92">
        <v>2025</v>
      </c>
      <c r="F131" s="92">
        <v>9</v>
      </c>
      <c r="G131" s="93" t="s">
        <v>258</v>
      </c>
      <c r="H131" s="94" t="s">
        <v>257</v>
      </c>
      <c r="I131" s="93" t="s">
        <v>519</v>
      </c>
      <c r="J131" s="93" t="s">
        <v>317</v>
      </c>
      <c r="K131" s="95" t="s">
        <v>527</v>
      </c>
      <c r="L131" s="93" t="s">
        <v>30</v>
      </c>
      <c r="M131" s="95" t="s">
        <v>1138</v>
      </c>
      <c r="N131" s="93" t="s">
        <v>529</v>
      </c>
      <c r="O131" s="93"/>
      <c r="P131" s="96">
        <v>21.15</v>
      </c>
      <c r="Q131" s="97">
        <v>60311005</v>
      </c>
      <c r="R131" s="92" t="s">
        <v>1065</v>
      </c>
      <c r="S131" s="92" t="s">
        <v>1100</v>
      </c>
      <c r="T131" s="92" t="s">
        <v>1139</v>
      </c>
      <c r="U131" t="str">
        <f>IFERROR(+VLOOKUP(H131,'DISPOSITIVOS ACTIVOS'!B:D,3,FALSE),"IPHONE")</f>
        <v>Iphone</v>
      </c>
      <c r="V131" t="str">
        <f>IFERROR(+VLOOKUP(H131,'[1]Migracion feb25 Ver to ATT'!$B:$G,6,FALSE), "NO MIGRADO")</f>
        <v>Iphone</v>
      </c>
      <c r="W131" s="26">
        <v>15</v>
      </c>
    </row>
    <row r="132" spans="1:23" x14ac:dyDescent="0.3">
      <c r="A132" t="s">
        <v>1140</v>
      </c>
      <c r="B132" s="46" t="s">
        <v>22</v>
      </c>
      <c r="C132" s="46" t="s">
        <v>1141</v>
      </c>
      <c r="D132" s="46">
        <v>7</v>
      </c>
      <c r="E132" s="46">
        <v>2025</v>
      </c>
      <c r="F132" s="46">
        <v>10</v>
      </c>
      <c r="G132" s="37" t="s">
        <v>259</v>
      </c>
      <c r="H132" s="47" t="s">
        <v>38</v>
      </c>
      <c r="I132" s="50" t="s">
        <v>268</v>
      </c>
      <c r="J132" s="50"/>
      <c r="K132" s="51">
        <v>40</v>
      </c>
      <c r="L132" s="50"/>
      <c r="M132" s="51"/>
      <c r="N132" s="50" t="s">
        <v>30</v>
      </c>
      <c r="O132" s="50" t="s">
        <v>30</v>
      </c>
      <c r="P132" s="82">
        <v>40</v>
      </c>
      <c r="Q132" s="39">
        <v>60311003</v>
      </c>
      <c r="R132" s="46" t="s">
        <v>1065</v>
      </c>
      <c r="S132" s="46" t="s">
        <v>1066</v>
      </c>
      <c r="T132" s="46" t="s">
        <v>1067</v>
      </c>
      <c r="U132" t="str">
        <f>IFERROR(+VLOOKUP(H132,'DISPOSITIVOS ACTIVOS'!B:D,3,FALSE),"IPHONE")</f>
        <v>no aplica</v>
      </c>
      <c r="V132" t="str">
        <f>IFERROR(+VLOOKUP(H132,'[1]Migracion feb25 Ver to ATT'!$B:$G,6,FALSE), "NO MIGRADO")</f>
        <v>NO MIGRADO</v>
      </c>
      <c r="W132" s="26">
        <v>25</v>
      </c>
    </row>
    <row r="133" spans="1:23" x14ac:dyDescent="0.3">
      <c r="A133" t="s">
        <v>1140</v>
      </c>
      <c r="B133" s="46" t="s">
        <v>22</v>
      </c>
      <c r="C133" s="46" t="s">
        <v>1141</v>
      </c>
      <c r="D133" s="46">
        <v>7</v>
      </c>
      <c r="E133" s="46">
        <v>2025</v>
      </c>
      <c r="F133" s="46">
        <v>10</v>
      </c>
      <c r="G133" s="47" t="s">
        <v>38</v>
      </c>
      <c r="H133" s="36" t="s">
        <v>38</v>
      </c>
      <c r="I133" s="47" t="s">
        <v>277</v>
      </c>
      <c r="J133" s="47"/>
      <c r="K133" s="48">
        <v>15</v>
      </c>
      <c r="L133" s="47"/>
      <c r="M133" s="48"/>
      <c r="N133" s="48">
        <v>3.75</v>
      </c>
      <c r="O133" s="47" t="s">
        <v>30</v>
      </c>
      <c r="P133" s="83">
        <v>18.75</v>
      </c>
      <c r="Q133" s="39">
        <v>60311003</v>
      </c>
      <c r="R133" s="46" t="s">
        <v>1065</v>
      </c>
      <c r="S133" s="46" t="s">
        <v>1066</v>
      </c>
      <c r="T133" s="46" t="s">
        <v>1067</v>
      </c>
      <c r="U133" t="str">
        <f>IFERROR(+VLOOKUP(H133,'DISPOSITIVOS ACTIVOS'!B:D,3,FALSE),"IPHONE")</f>
        <v>no aplica</v>
      </c>
      <c r="V133" t="str">
        <f>IFERROR(+VLOOKUP(H133,'[1]Migracion feb25 Ver to ATT'!$B:$G,6,FALSE), "NO MIGRADO")</f>
        <v>NO MIGRADO</v>
      </c>
      <c r="W133" s="26">
        <v>25</v>
      </c>
    </row>
    <row r="134" spans="1:23" x14ac:dyDescent="0.3">
      <c r="A134" t="s">
        <v>1140</v>
      </c>
      <c r="B134" s="46" t="s">
        <v>22</v>
      </c>
      <c r="C134" s="46" t="s">
        <v>1141</v>
      </c>
      <c r="D134" s="46">
        <v>7</v>
      </c>
      <c r="E134" s="46">
        <v>2025</v>
      </c>
      <c r="F134" s="46">
        <v>10</v>
      </c>
      <c r="G134" s="37" t="s">
        <v>265</v>
      </c>
      <c r="H134" s="47" t="s">
        <v>41</v>
      </c>
      <c r="I134" s="50" t="s">
        <v>268</v>
      </c>
      <c r="J134" s="50"/>
      <c r="K134" s="51">
        <v>40</v>
      </c>
      <c r="L134" s="50"/>
      <c r="M134" s="51"/>
      <c r="N134" s="50" t="s">
        <v>30</v>
      </c>
      <c r="O134" s="50" t="s">
        <v>30</v>
      </c>
      <c r="P134" s="82">
        <v>40</v>
      </c>
      <c r="Q134" s="39">
        <v>60311003</v>
      </c>
      <c r="R134" s="46" t="s">
        <v>1065</v>
      </c>
      <c r="S134" s="46" t="s">
        <v>1066</v>
      </c>
      <c r="T134" s="46" t="s">
        <v>1067</v>
      </c>
      <c r="U134" t="str">
        <f>IFERROR(+VLOOKUP(H134,'DISPOSITIVOS ACTIVOS'!B:D,3,FALSE),"IPHONE")</f>
        <v>no aplica</v>
      </c>
      <c r="V134" t="str">
        <f>IFERROR(+VLOOKUP(H134,'[1]Migracion feb25 Ver to ATT'!$B:$G,6,FALSE), "NO MIGRADO")</f>
        <v>NO MIGRADO</v>
      </c>
      <c r="W134" s="26">
        <v>25</v>
      </c>
    </row>
    <row r="135" spans="1:23" x14ac:dyDescent="0.3">
      <c r="A135" t="s">
        <v>1140</v>
      </c>
      <c r="B135" s="46" t="s">
        <v>22</v>
      </c>
      <c r="C135" s="46" t="s">
        <v>1141</v>
      </c>
      <c r="D135" s="46">
        <v>7</v>
      </c>
      <c r="E135" s="46">
        <v>2025</v>
      </c>
      <c r="F135" s="46">
        <v>10</v>
      </c>
      <c r="G135" s="47" t="s">
        <v>41</v>
      </c>
      <c r="H135" s="36" t="s">
        <v>41</v>
      </c>
      <c r="I135" s="47" t="s">
        <v>284</v>
      </c>
      <c r="J135" s="47"/>
      <c r="K135" s="48">
        <v>15</v>
      </c>
      <c r="L135" s="47"/>
      <c r="M135" s="48"/>
      <c r="N135" s="48">
        <v>3.75</v>
      </c>
      <c r="O135" s="47" t="s">
        <v>30</v>
      </c>
      <c r="P135" s="83">
        <v>18.75</v>
      </c>
      <c r="Q135" s="39">
        <v>60311003</v>
      </c>
      <c r="R135" s="46" t="s">
        <v>1065</v>
      </c>
      <c r="S135" s="46" t="s">
        <v>1066</v>
      </c>
      <c r="T135" s="46" t="s">
        <v>1067</v>
      </c>
      <c r="U135" t="str">
        <f>IFERROR(+VLOOKUP(H135,'DISPOSITIVOS ACTIVOS'!B:D,3,FALSE),"IPHONE")</f>
        <v>no aplica</v>
      </c>
      <c r="V135" t="str">
        <f>IFERROR(+VLOOKUP(H135,'[1]Migracion feb25 Ver to ATT'!$B:$G,6,FALSE), "NO MIGRADO")</f>
        <v>NO MIGRADO</v>
      </c>
      <c r="W135" s="26">
        <v>25</v>
      </c>
    </row>
    <row r="136" spans="1:23" x14ac:dyDescent="0.3">
      <c r="A136" t="s">
        <v>1140</v>
      </c>
      <c r="B136" s="46" t="s">
        <v>22</v>
      </c>
      <c r="C136" s="46" t="s">
        <v>1141</v>
      </c>
      <c r="D136" s="46">
        <v>7</v>
      </c>
      <c r="E136" s="46">
        <v>2025</v>
      </c>
      <c r="F136" s="46">
        <v>10</v>
      </c>
      <c r="G136" s="50" t="s">
        <v>64</v>
      </c>
      <c r="H136" s="37" t="s">
        <v>63</v>
      </c>
      <c r="I136" s="50" t="s">
        <v>262</v>
      </c>
      <c r="J136" s="50" t="s">
        <v>30</v>
      </c>
      <c r="K136" s="51">
        <v>25</v>
      </c>
      <c r="L136" s="50">
        <v>5</v>
      </c>
      <c r="M136" s="51" t="s">
        <v>30</v>
      </c>
      <c r="N136" s="50">
        <v>4.53</v>
      </c>
      <c r="O136" s="50">
        <v>4</v>
      </c>
      <c r="P136" s="82">
        <v>38.53</v>
      </c>
      <c r="Q136" s="39">
        <v>60311005</v>
      </c>
      <c r="R136" s="46" t="s">
        <v>1065</v>
      </c>
      <c r="S136" s="46" t="s">
        <v>1066</v>
      </c>
      <c r="T136" s="46" t="s">
        <v>1071</v>
      </c>
      <c r="U136" t="str">
        <f>IFERROR(+VLOOKUP(H136,'DISPOSITIVOS ACTIVOS'!B:D,3,FALSE),"IPHONE")</f>
        <v>Iphone</v>
      </c>
      <c r="V136" t="str">
        <f>IFERROR(+VLOOKUP(H136,'[1]Migracion feb25 Ver to ATT'!$B:$G,6,FALSE), "NO MIGRADO")</f>
        <v>NO MIGRADO</v>
      </c>
      <c r="W136" s="26">
        <v>25</v>
      </c>
    </row>
    <row r="137" spans="1:23" x14ac:dyDescent="0.3">
      <c r="A137" t="s">
        <v>1140</v>
      </c>
      <c r="B137" s="46" t="s">
        <v>22</v>
      </c>
      <c r="C137" s="46" t="s">
        <v>1141</v>
      </c>
      <c r="D137" s="46">
        <v>7</v>
      </c>
      <c r="E137" s="46">
        <v>2025</v>
      </c>
      <c r="F137" s="46">
        <v>10</v>
      </c>
      <c r="G137" s="47" t="s">
        <v>66</v>
      </c>
      <c r="H137" s="36" t="s">
        <v>65</v>
      </c>
      <c r="I137" s="47" t="s">
        <v>266</v>
      </c>
      <c r="J137" s="47" t="s">
        <v>30</v>
      </c>
      <c r="K137" s="48">
        <v>50</v>
      </c>
      <c r="L137" s="47" t="s">
        <v>30</v>
      </c>
      <c r="M137" s="48" t="s">
        <v>30</v>
      </c>
      <c r="N137" s="48">
        <v>4.8600000000000003</v>
      </c>
      <c r="O137" s="47">
        <v>2.48</v>
      </c>
      <c r="P137" s="83">
        <v>57.34</v>
      </c>
      <c r="Q137" s="39">
        <v>60311005</v>
      </c>
      <c r="R137" s="46" t="s">
        <v>1065</v>
      </c>
      <c r="S137" s="46" t="s">
        <v>1066</v>
      </c>
      <c r="T137" s="46" t="s">
        <v>1071</v>
      </c>
      <c r="U137" t="str">
        <f>IFERROR(+VLOOKUP(H137,'DISPOSITIVOS ACTIVOS'!B:D,3,FALSE),"IPHONE")</f>
        <v>Iphone</v>
      </c>
      <c r="V137" t="str">
        <f>IFERROR(+VLOOKUP(H137,'[1]Migracion feb25 Ver to ATT'!$B:$G,6,FALSE), "NO MIGRADO")</f>
        <v>Iphone</v>
      </c>
      <c r="W137" s="26">
        <v>15</v>
      </c>
    </row>
    <row r="138" spans="1:23" x14ac:dyDescent="0.3">
      <c r="A138" t="s">
        <v>1140</v>
      </c>
      <c r="B138" s="46" t="s">
        <v>22</v>
      </c>
      <c r="C138" s="46" t="s">
        <v>1141</v>
      </c>
      <c r="D138" s="46">
        <v>7</v>
      </c>
      <c r="E138" s="46">
        <v>2025</v>
      </c>
      <c r="F138" s="46">
        <v>10</v>
      </c>
      <c r="G138" s="50" t="s">
        <v>68</v>
      </c>
      <c r="H138" s="37" t="s">
        <v>67</v>
      </c>
      <c r="I138" s="50" t="s">
        <v>285</v>
      </c>
      <c r="J138" s="50" t="s">
        <v>30</v>
      </c>
      <c r="K138" s="51">
        <v>50</v>
      </c>
      <c r="L138" s="50" t="s">
        <v>30</v>
      </c>
      <c r="M138" s="51" t="s">
        <v>30</v>
      </c>
      <c r="N138" s="50">
        <v>4.8600000000000003</v>
      </c>
      <c r="O138" s="50">
        <v>2.48</v>
      </c>
      <c r="P138" s="82">
        <v>57.34</v>
      </c>
      <c r="Q138" s="39">
        <v>60311005</v>
      </c>
      <c r="R138" s="46" t="s">
        <v>1065</v>
      </c>
      <c r="S138" s="46" t="s">
        <v>1066</v>
      </c>
      <c r="T138" s="46" t="s">
        <v>1071</v>
      </c>
      <c r="U138" t="str">
        <f>IFERROR(+VLOOKUP(H138,'DISPOSITIVOS ACTIVOS'!B:D,3,FALSE),"IPHONE")</f>
        <v>Iphone</v>
      </c>
      <c r="V138" t="str">
        <f>IFERROR(+VLOOKUP(H138,'[1]Migracion feb25 Ver to ATT'!$B:$G,6,FALSE), "NO MIGRADO")</f>
        <v>Iphone</v>
      </c>
      <c r="W138" s="26">
        <v>15</v>
      </c>
    </row>
    <row r="139" spans="1:23" x14ac:dyDescent="0.3">
      <c r="A139" t="s">
        <v>1140</v>
      </c>
      <c r="B139" s="46" t="s">
        <v>22</v>
      </c>
      <c r="C139" s="46" t="s">
        <v>1141</v>
      </c>
      <c r="D139" s="46">
        <v>7</v>
      </c>
      <c r="E139" s="46">
        <v>2025</v>
      </c>
      <c r="F139" s="46">
        <v>10</v>
      </c>
      <c r="G139" s="47" t="s">
        <v>1142</v>
      </c>
      <c r="H139" s="36" t="s">
        <v>49</v>
      </c>
      <c r="I139" s="47" t="s">
        <v>291</v>
      </c>
      <c r="J139" s="47" t="s">
        <v>30</v>
      </c>
      <c r="K139" s="48">
        <v>15</v>
      </c>
      <c r="L139" s="47" t="s">
        <v>30</v>
      </c>
      <c r="M139" s="48" t="s">
        <v>30</v>
      </c>
      <c r="N139" s="48">
        <v>3.75</v>
      </c>
      <c r="O139" s="47" t="s">
        <v>30</v>
      </c>
      <c r="P139" s="83">
        <v>18.75</v>
      </c>
      <c r="Q139" s="39">
        <v>60311003</v>
      </c>
      <c r="R139" s="46" t="s">
        <v>1065</v>
      </c>
      <c r="S139" s="46" t="s">
        <v>1066</v>
      </c>
      <c r="T139" s="46" t="s">
        <v>1071</v>
      </c>
      <c r="U139" t="str">
        <f>IFERROR(+VLOOKUP(H139,'DISPOSITIVOS ACTIVOS'!B:D,3,FALSE),"IPHONE")</f>
        <v>Ipad</v>
      </c>
      <c r="V139" t="str">
        <f>IFERROR(+VLOOKUP(H139,'[1]Migracion feb25 Ver to ATT'!$B:$G,6,FALSE), "NO MIGRADO")</f>
        <v>NO MIGRADO</v>
      </c>
      <c r="W139" s="26">
        <v>15</v>
      </c>
    </row>
    <row r="140" spans="1:23" x14ac:dyDescent="0.3">
      <c r="A140" t="s">
        <v>1140</v>
      </c>
      <c r="B140" s="46" t="s">
        <v>22</v>
      </c>
      <c r="C140" s="46" t="s">
        <v>1141</v>
      </c>
      <c r="D140" s="46">
        <v>7</v>
      </c>
      <c r="E140" s="46">
        <v>2025</v>
      </c>
      <c r="F140" s="46">
        <v>10</v>
      </c>
      <c r="G140" s="50" t="s">
        <v>70</v>
      </c>
      <c r="H140" s="37" t="s">
        <v>69</v>
      </c>
      <c r="I140" s="50" t="s">
        <v>294</v>
      </c>
      <c r="J140" s="50" t="s">
        <v>30</v>
      </c>
      <c r="K140" s="51">
        <v>25</v>
      </c>
      <c r="L140" s="50">
        <v>10.99</v>
      </c>
      <c r="M140" s="51" t="s">
        <v>30</v>
      </c>
      <c r="N140" s="50">
        <v>4.53</v>
      </c>
      <c r="O140" s="50">
        <v>4</v>
      </c>
      <c r="P140" s="82">
        <v>44.52</v>
      </c>
      <c r="Q140" s="39">
        <v>60311005</v>
      </c>
      <c r="R140" s="46" t="s">
        <v>1065</v>
      </c>
      <c r="S140" s="46" t="s">
        <v>1066</v>
      </c>
      <c r="T140" s="46" t="s">
        <v>1071</v>
      </c>
      <c r="U140" t="str">
        <f>IFERROR(+VLOOKUP(H140,'DISPOSITIVOS ACTIVOS'!B:D,3,FALSE),"IPHONE")</f>
        <v>Iphone</v>
      </c>
      <c r="V140" t="str">
        <f>IFERROR(+VLOOKUP(H140,'[1]Migracion feb25 Ver to ATT'!$B:$G,6,FALSE), "NO MIGRADO")</f>
        <v>NO MIGRADO</v>
      </c>
      <c r="W140" s="26">
        <v>25</v>
      </c>
    </row>
    <row r="141" spans="1:23" x14ac:dyDescent="0.3">
      <c r="A141" t="s">
        <v>1140</v>
      </c>
      <c r="B141" s="46" t="s">
        <v>22</v>
      </c>
      <c r="C141" s="46" t="s">
        <v>1141</v>
      </c>
      <c r="D141" s="46">
        <v>7</v>
      </c>
      <c r="E141" s="46">
        <v>2025</v>
      </c>
      <c r="F141" s="46">
        <v>10</v>
      </c>
      <c r="G141" s="47" t="s">
        <v>301</v>
      </c>
      <c r="H141" s="36" t="s">
        <v>300</v>
      </c>
      <c r="I141" s="47" t="s">
        <v>295</v>
      </c>
      <c r="J141" s="47">
        <v>-35</v>
      </c>
      <c r="K141" s="48">
        <v>50</v>
      </c>
      <c r="L141" s="47" t="s">
        <v>30</v>
      </c>
      <c r="M141" s="48" t="s">
        <v>30</v>
      </c>
      <c r="N141" s="48">
        <v>4.6900000000000004</v>
      </c>
      <c r="O141" s="47">
        <v>0.97</v>
      </c>
      <c r="P141" s="83">
        <v>20.66</v>
      </c>
      <c r="Q141" s="39">
        <v>60311005</v>
      </c>
      <c r="R141" s="46" t="s">
        <v>1065</v>
      </c>
      <c r="S141" s="46" t="s">
        <v>1066</v>
      </c>
      <c r="T141" s="46" t="s">
        <v>1067</v>
      </c>
      <c r="U141">
        <f>IFERROR(+VLOOKUP(H141,'DISPOSITIVOS ACTIVOS'!B:D,3,FALSE),"IPHONE")</f>
        <v>0</v>
      </c>
      <c r="V141" t="str">
        <f>IFERROR(+VLOOKUP(H141,'[1]Migracion feb25 Ver to ATT'!$B:$G,6,FALSE), "NO MIGRADO")</f>
        <v>NO MIGRADO</v>
      </c>
      <c r="W141" s="26">
        <v>25</v>
      </c>
    </row>
    <row r="142" spans="1:23" x14ac:dyDescent="0.3">
      <c r="A142" t="s">
        <v>1140</v>
      </c>
      <c r="B142" s="46" t="s">
        <v>22</v>
      </c>
      <c r="C142" s="46" t="s">
        <v>1141</v>
      </c>
      <c r="D142" s="46">
        <v>7</v>
      </c>
      <c r="E142" s="46">
        <v>2025</v>
      </c>
      <c r="F142" s="46">
        <v>10</v>
      </c>
      <c r="G142" s="98" t="s">
        <v>1143</v>
      </c>
      <c r="H142" s="37" t="s">
        <v>883</v>
      </c>
      <c r="I142" s="50" t="s">
        <v>298</v>
      </c>
      <c r="J142" s="50">
        <v>-35</v>
      </c>
      <c r="K142" s="51">
        <v>50</v>
      </c>
      <c r="L142" s="50" t="s">
        <v>30</v>
      </c>
      <c r="M142" s="51" t="s">
        <v>30</v>
      </c>
      <c r="N142" s="50">
        <v>4.2699999999999996</v>
      </c>
      <c r="O142" s="50">
        <v>0.74</v>
      </c>
      <c r="P142" s="82">
        <v>20.010000000000002</v>
      </c>
      <c r="Q142" s="86">
        <v>60311005</v>
      </c>
      <c r="R142" s="46" t="s">
        <v>1079</v>
      </c>
      <c r="S142" s="46" t="s">
        <v>1080</v>
      </c>
      <c r="T142" s="46" t="s">
        <v>1081</v>
      </c>
      <c r="U142" t="str">
        <f>IFERROR(+VLOOKUP(H142,'DISPOSITIVOS ACTIVOS'!B:D,3,FALSE),"IPHONE")</f>
        <v>Samsung</v>
      </c>
      <c r="V142" t="str">
        <f>IFERROR(+VLOOKUP(H142,'[1]Migracion feb25 Ver to ATT'!$B:$G,6,FALSE), "NO MIGRADO")</f>
        <v>NO MIGRADO</v>
      </c>
      <c r="W142" s="26">
        <v>25</v>
      </c>
    </row>
    <row r="143" spans="1:23" x14ac:dyDescent="0.3">
      <c r="A143" t="s">
        <v>1140</v>
      </c>
      <c r="B143" s="46" t="s">
        <v>22</v>
      </c>
      <c r="C143" s="46" t="s">
        <v>1141</v>
      </c>
      <c r="D143" s="46">
        <v>7</v>
      </c>
      <c r="E143" s="46">
        <v>2025</v>
      </c>
      <c r="F143" s="46">
        <v>10</v>
      </c>
      <c r="G143" s="99" t="s">
        <v>1144</v>
      </c>
      <c r="H143" s="36" t="s">
        <v>878</v>
      </c>
      <c r="I143" s="47" t="s">
        <v>302</v>
      </c>
      <c r="J143" s="47">
        <v>-35</v>
      </c>
      <c r="K143" s="48">
        <v>50</v>
      </c>
      <c r="L143" s="47" t="s">
        <v>30</v>
      </c>
      <c r="M143" s="48" t="s">
        <v>30</v>
      </c>
      <c r="N143" s="48">
        <v>4.2699999999999996</v>
      </c>
      <c r="O143" s="47">
        <v>0.74</v>
      </c>
      <c r="P143" s="83">
        <v>20.010000000000002</v>
      </c>
      <c r="Q143" s="86">
        <v>60311005</v>
      </c>
      <c r="R143" s="46" t="s">
        <v>1079</v>
      </c>
      <c r="S143" s="46" t="s">
        <v>1080</v>
      </c>
      <c r="T143" s="46" t="s">
        <v>1081</v>
      </c>
      <c r="U143" t="str">
        <f>IFERROR(+VLOOKUP(H143,'DISPOSITIVOS ACTIVOS'!B:D,3,FALSE),"IPHONE")</f>
        <v>Samsung</v>
      </c>
      <c r="V143" t="str">
        <f>IFERROR(+VLOOKUP(H143,'[1]Migracion feb25 Ver to ATT'!$B:$G,6,FALSE), "NO MIGRADO")</f>
        <v>NO MIGRADO</v>
      </c>
      <c r="W143" s="26">
        <v>25</v>
      </c>
    </row>
    <row r="144" spans="1:23" x14ac:dyDescent="0.3">
      <c r="A144" t="s">
        <v>1140</v>
      </c>
      <c r="B144" s="46" t="s">
        <v>22</v>
      </c>
      <c r="C144" s="46" t="s">
        <v>1141</v>
      </c>
      <c r="D144" s="46">
        <v>7</v>
      </c>
      <c r="E144" s="46">
        <v>2025</v>
      </c>
      <c r="F144" s="46">
        <v>10</v>
      </c>
      <c r="G144" s="50" t="s">
        <v>72</v>
      </c>
      <c r="H144" s="37" t="s">
        <v>71</v>
      </c>
      <c r="I144" s="50" t="s">
        <v>307</v>
      </c>
      <c r="J144" s="50" t="s">
        <v>30</v>
      </c>
      <c r="K144" s="51">
        <v>25</v>
      </c>
      <c r="L144" s="50">
        <v>5</v>
      </c>
      <c r="M144" s="51" t="s">
        <v>30</v>
      </c>
      <c r="N144" s="50">
        <v>4.53</v>
      </c>
      <c r="O144" s="50">
        <v>4.3099999999999996</v>
      </c>
      <c r="P144" s="82">
        <v>38.840000000000003</v>
      </c>
      <c r="Q144" s="39">
        <v>60311005</v>
      </c>
      <c r="R144" s="46" t="s">
        <v>1065</v>
      </c>
      <c r="S144" s="46" t="s">
        <v>1066</v>
      </c>
      <c r="T144" s="46" t="s">
        <v>1084</v>
      </c>
      <c r="U144" t="str">
        <f>IFERROR(+VLOOKUP(H144,'DISPOSITIVOS ACTIVOS'!B:D,3,FALSE),"IPHONE")</f>
        <v>Iphone</v>
      </c>
      <c r="V144" t="str">
        <f>IFERROR(+VLOOKUP(H144,'[1]Migracion feb25 Ver to ATT'!$B:$G,6,FALSE), "NO MIGRADO")</f>
        <v>NO MIGRADO</v>
      </c>
      <c r="W144" s="26">
        <v>25</v>
      </c>
    </row>
    <row r="145" spans="1:23" x14ac:dyDescent="0.3">
      <c r="A145" t="s">
        <v>1140</v>
      </c>
      <c r="B145" s="46" t="s">
        <v>22</v>
      </c>
      <c r="C145" s="46" t="s">
        <v>1141</v>
      </c>
      <c r="D145" s="46">
        <v>7</v>
      </c>
      <c r="E145" s="46">
        <v>2025</v>
      </c>
      <c r="F145" s="46">
        <v>10</v>
      </c>
      <c r="G145" s="47" t="s">
        <v>74</v>
      </c>
      <c r="H145" s="36" t="s">
        <v>73</v>
      </c>
      <c r="I145" s="47" t="s">
        <v>309</v>
      </c>
      <c r="J145" s="47" t="s">
        <v>30</v>
      </c>
      <c r="K145" s="48">
        <v>50</v>
      </c>
      <c r="L145" s="47" t="s">
        <v>30</v>
      </c>
      <c r="M145" s="48" t="s">
        <v>30</v>
      </c>
      <c r="N145" s="48">
        <v>4.8600000000000003</v>
      </c>
      <c r="O145" s="47">
        <v>2.48</v>
      </c>
      <c r="P145" s="83">
        <v>57.34</v>
      </c>
      <c r="Q145" s="39">
        <v>60311005</v>
      </c>
      <c r="R145" s="46" t="s">
        <v>1065</v>
      </c>
      <c r="S145" s="46" t="s">
        <v>1066</v>
      </c>
      <c r="T145" s="46" t="s">
        <v>1084</v>
      </c>
      <c r="U145" t="str">
        <f>IFERROR(+VLOOKUP(H145,'DISPOSITIVOS ACTIVOS'!B:D,3,FALSE),"IPHONE")</f>
        <v>Iphone</v>
      </c>
      <c r="V145" t="str">
        <f>IFERROR(+VLOOKUP(H145,'[1]Migracion feb25 Ver to ATT'!$B:$G,6,FALSE), "NO MIGRADO")</f>
        <v>Iphone</v>
      </c>
      <c r="W145" s="26">
        <v>15</v>
      </c>
    </row>
    <row r="146" spans="1:23" x14ac:dyDescent="0.3">
      <c r="A146" t="s">
        <v>1140</v>
      </c>
      <c r="B146" s="46" t="s">
        <v>22</v>
      </c>
      <c r="C146" s="46" t="s">
        <v>1141</v>
      </c>
      <c r="D146" s="46">
        <v>7</v>
      </c>
      <c r="E146" s="46">
        <v>2025</v>
      </c>
      <c r="F146" s="46">
        <v>10</v>
      </c>
      <c r="G146" s="50" t="s">
        <v>76</v>
      </c>
      <c r="H146" s="37" t="s">
        <v>75</v>
      </c>
      <c r="I146" s="50" t="s">
        <v>313</v>
      </c>
      <c r="J146" s="50" t="s">
        <v>30</v>
      </c>
      <c r="K146" s="51">
        <v>50</v>
      </c>
      <c r="L146" s="50" t="s">
        <v>30</v>
      </c>
      <c r="M146" s="51" t="s">
        <v>30</v>
      </c>
      <c r="N146" s="50">
        <v>4.8600000000000003</v>
      </c>
      <c r="O146" s="50">
        <v>2.48</v>
      </c>
      <c r="P146" s="82">
        <v>57.34</v>
      </c>
      <c r="Q146" s="39">
        <v>60311005</v>
      </c>
      <c r="R146" s="46" t="s">
        <v>1065</v>
      </c>
      <c r="S146" s="46" t="s">
        <v>1066</v>
      </c>
      <c r="T146" s="46" t="s">
        <v>1085</v>
      </c>
      <c r="U146" t="str">
        <f>IFERROR(+VLOOKUP(H146,'DISPOSITIVOS ACTIVOS'!B:D,3,FALSE),"IPHONE")</f>
        <v>Iphone</v>
      </c>
      <c r="V146" t="str">
        <f>IFERROR(+VLOOKUP(H146,'[1]Migracion feb25 Ver to ATT'!$B:$G,6,FALSE), "NO MIGRADO")</f>
        <v>Iphone</v>
      </c>
      <c r="W146" s="26">
        <v>15</v>
      </c>
    </row>
    <row r="147" spans="1:23" x14ac:dyDescent="0.3">
      <c r="A147" t="s">
        <v>1140</v>
      </c>
      <c r="B147" s="46" t="s">
        <v>22</v>
      </c>
      <c r="C147" s="46" t="s">
        <v>1141</v>
      </c>
      <c r="D147" s="46">
        <v>7</v>
      </c>
      <c r="E147" s="46">
        <v>2025</v>
      </c>
      <c r="F147" s="46">
        <v>10</v>
      </c>
      <c r="G147" s="47" t="s">
        <v>1145</v>
      </c>
      <c r="H147" s="36" t="s">
        <v>77</v>
      </c>
      <c r="I147" s="47" t="s">
        <v>314</v>
      </c>
      <c r="J147" s="47" t="s">
        <v>30</v>
      </c>
      <c r="K147" s="48">
        <v>50</v>
      </c>
      <c r="L147" s="47" t="s">
        <v>30</v>
      </c>
      <c r="M147" s="48" t="s">
        <v>30</v>
      </c>
      <c r="N147" s="48">
        <v>4.8600000000000003</v>
      </c>
      <c r="O147" s="47">
        <v>2.48</v>
      </c>
      <c r="P147" s="83">
        <v>57.34</v>
      </c>
      <c r="Q147" s="39">
        <v>60311005</v>
      </c>
      <c r="R147" s="46" t="s">
        <v>1065</v>
      </c>
      <c r="S147" s="46" t="s">
        <v>1066</v>
      </c>
      <c r="T147" s="46" t="s">
        <v>1071</v>
      </c>
      <c r="U147" t="str">
        <f>IFERROR(+VLOOKUP(H147,'DISPOSITIVOS ACTIVOS'!B:D,3,FALSE),"IPHONE")</f>
        <v>Iphone</v>
      </c>
      <c r="V147" t="str">
        <f>IFERROR(+VLOOKUP(H147,'[1]Migracion feb25 Ver to ATT'!$B:$G,6,FALSE), "NO MIGRADO")</f>
        <v>Iphone</v>
      </c>
      <c r="W147" s="26">
        <v>15</v>
      </c>
    </row>
    <row r="148" spans="1:23" x14ac:dyDescent="0.3">
      <c r="A148" t="s">
        <v>1140</v>
      </c>
      <c r="B148" s="46" t="s">
        <v>22</v>
      </c>
      <c r="C148" s="46" t="s">
        <v>1141</v>
      </c>
      <c r="D148" s="46">
        <v>7</v>
      </c>
      <c r="E148" s="46">
        <v>2025</v>
      </c>
      <c r="F148" s="46">
        <v>10</v>
      </c>
      <c r="G148" s="50" t="s">
        <v>80</v>
      </c>
      <c r="H148" s="37" t="s">
        <v>79</v>
      </c>
      <c r="I148" s="50" t="s">
        <v>315</v>
      </c>
      <c r="J148" s="50" t="s">
        <v>30</v>
      </c>
      <c r="K148" s="51">
        <v>25</v>
      </c>
      <c r="L148" s="50" t="s">
        <v>30</v>
      </c>
      <c r="M148" s="51" t="s">
        <v>30</v>
      </c>
      <c r="N148" s="50">
        <v>4.53</v>
      </c>
      <c r="O148" s="50">
        <v>4.3099999999999996</v>
      </c>
      <c r="P148" s="82">
        <v>33.840000000000003</v>
      </c>
      <c r="Q148" s="39">
        <v>60311005</v>
      </c>
      <c r="R148" s="46" t="s">
        <v>1065</v>
      </c>
      <c r="S148" s="46" t="s">
        <v>1066</v>
      </c>
      <c r="T148" s="46" t="s">
        <v>1085</v>
      </c>
      <c r="U148" t="str">
        <f>IFERROR(+VLOOKUP(H148,'DISPOSITIVOS ACTIVOS'!B:D,3,FALSE),"IPHONE")</f>
        <v>Iphone</v>
      </c>
      <c r="V148" t="str">
        <f>IFERROR(+VLOOKUP(H148,'[1]Migracion feb25 Ver to ATT'!$B:$G,6,FALSE), "NO MIGRADO")</f>
        <v>NO MIGRADO</v>
      </c>
      <c r="W148" s="26">
        <v>25</v>
      </c>
    </row>
    <row r="149" spans="1:23" x14ac:dyDescent="0.3">
      <c r="A149" t="s">
        <v>1140</v>
      </c>
      <c r="B149" s="46" t="s">
        <v>22</v>
      </c>
      <c r="C149" s="46" t="s">
        <v>1141</v>
      </c>
      <c r="D149" s="46">
        <v>7</v>
      </c>
      <c r="E149" s="46">
        <v>2025</v>
      </c>
      <c r="F149" s="46">
        <v>10</v>
      </c>
      <c r="G149" s="99" t="s">
        <v>1032</v>
      </c>
      <c r="H149" s="36" t="s">
        <v>81</v>
      </c>
      <c r="I149" s="47" t="s">
        <v>316</v>
      </c>
      <c r="J149" s="47" t="s">
        <v>30</v>
      </c>
      <c r="K149" s="48" t="s">
        <v>30</v>
      </c>
      <c r="L149" s="47">
        <v>5.99</v>
      </c>
      <c r="M149" s="48" t="s">
        <v>30</v>
      </c>
      <c r="N149" s="48" t="s">
        <v>30</v>
      </c>
      <c r="O149" s="47" t="s">
        <v>30</v>
      </c>
      <c r="P149" s="83">
        <v>5.99</v>
      </c>
      <c r="Q149" s="86">
        <v>60311005</v>
      </c>
      <c r="R149" s="46" t="s">
        <v>1065</v>
      </c>
      <c r="S149" s="46" t="s">
        <v>1066</v>
      </c>
      <c r="T149" s="46" t="s">
        <v>1067</v>
      </c>
      <c r="U149" t="str">
        <f>IFERROR(+VLOOKUP(H149,'DISPOSITIVOS ACTIVOS'!B:D,3,FALSE),"IPHONE")</f>
        <v>IPHONE</v>
      </c>
      <c r="V149" t="str">
        <f>IFERROR(+VLOOKUP(H149,'[1]Migracion feb25 Ver to ATT'!$B:$G,6,FALSE), "NO MIGRADO")</f>
        <v>NO MIGRADO</v>
      </c>
      <c r="W149" s="26">
        <v>25</v>
      </c>
    </row>
    <row r="150" spans="1:23" x14ac:dyDescent="0.3">
      <c r="A150" t="s">
        <v>1140</v>
      </c>
      <c r="B150" s="46" t="s">
        <v>22</v>
      </c>
      <c r="C150" s="46" t="s">
        <v>1141</v>
      </c>
      <c r="D150" s="46">
        <v>7</v>
      </c>
      <c r="E150" s="46">
        <v>2025</v>
      </c>
      <c r="F150" s="46">
        <v>10</v>
      </c>
      <c r="G150" s="98" t="s">
        <v>84</v>
      </c>
      <c r="H150" s="37" t="s">
        <v>83</v>
      </c>
      <c r="I150" s="50" t="s">
        <v>321</v>
      </c>
      <c r="J150" s="50" t="s">
        <v>30</v>
      </c>
      <c r="K150" s="51">
        <v>25</v>
      </c>
      <c r="L150" s="50" t="s">
        <v>30</v>
      </c>
      <c r="M150" s="51" t="s">
        <v>30</v>
      </c>
      <c r="N150" s="50">
        <v>0.33</v>
      </c>
      <c r="O150" s="50">
        <v>2.4</v>
      </c>
      <c r="P150" s="82">
        <v>27.73</v>
      </c>
      <c r="Q150" s="86">
        <v>60311005</v>
      </c>
      <c r="R150" s="46" t="s">
        <v>1065</v>
      </c>
      <c r="S150" s="46" t="s">
        <v>1066</v>
      </c>
      <c r="T150" s="46" t="s">
        <v>1067</v>
      </c>
      <c r="U150" t="str">
        <f>IFERROR(+VLOOKUP(H150,'DISPOSITIVOS ACTIVOS'!B:D,3,FALSE),"IPHONE")</f>
        <v>IPHONE</v>
      </c>
      <c r="V150" t="str">
        <f>IFERROR(+VLOOKUP(H150,'[1]Migracion feb25 Ver to ATT'!$B:$G,6,FALSE), "NO MIGRADO")</f>
        <v>NO MIGRADO</v>
      </c>
      <c r="W150" s="26">
        <v>25</v>
      </c>
    </row>
    <row r="151" spans="1:23" x14ac:dyDescent="0.3">
      <c r="A151" t="s">
        <v>1140</v>
      </c>
      <c r="B151" s="46" t="s">
        <v>22</v>
      </c>
      <c r="C151" s="46" t="s">
        <v>1141</v>
      </c>
      <c r="D151" s="46">
        <v>7</v>
      </c>
      <c r="E151" s="46">
        <v>2025</v>
      </c>
      <c r="F151" s="46">
        <v>10</v>
      </c>
      <c r="G151" s="47" t="s">
        <v>86</v>
      </c>
      <c r="H151" s="36" t="s">
        <v>85</v>
      </c>
      <c r="I151" s="47" t="s">
        <v>325</v>
      </c>
      <c r="J151" s="47" t="s">
        <v>30</v>
      </c>
      <c r="K151" s="48">
        <v>25</v>
      </c>
      <c r="L151" s="47" t="s">
        <v>30</v>
      </c>
      <c r="M151" s="48" t="s">
        <v>30</v>
      </c>
      <c r="N151" s="48">
        <v>4.53</v>
      </c>
      <c r="O151" s="47">
        <v>2.14</v>
      </c>
      <c r="P151" s="83">
        <v>31.67</v>
      </c>
      <c r="Q151" s="39">
        <v>10145003</v>
      </c>
      <c r="R151" s="46"/>
      <c r="S151" s="46"/>
      <c r="T151" s="46"/>
      <c r="U151" t="str">
        <f>IFERROR(+VLOOKUP(H151,'DISPOSITIVOS ACTIVOS'!B:D,3,FALSE),"IPHONE")</f>
        <v>no aplica</v>
      </c>
      <c r="V151" t="str">
        <f>IFERROR(+VLOOKUP(H151,'[1]Migracion feb25 Ver to ATT'!$B:$G,6,FALSE), "NO MIGRADO")</f>
        <v>NO MIGRADO</v>
      </c>
      <c r="W151" s="26">
        <v>25</v>
      </c>
    </row>
    <row r="152" spans="1:23" x14ac:dyDescent="0.3">
      <c r="A152" t="s">
        <v>1140</v>
      </c>
      <c r="B152" s="46" t="s">
        <v>22</v>
      </c>
      <c r="C152" s="46" t="s">
        <v>1141</v>
      </c>
      <c r="D152" s="46">
        <v>7</v>
      </c>
      <c r="E152" s="46">
        <v>2025</v>
      </c>
      <c r="F152" s="46">
        <v>10</v>
      </c>
      <c r="G152" s="50" t="s">
        <v>88</v>
      </c>
      <c r="H152" s="37" t="s">
        <v>87</v>
      </c>
      <c r="I152" s="50" t="s">
        <v>327</v>
      </c>
      <c r="J152" s="50" t="s">
        <v>30</v>
      </c>
      <c r="K152" s="51">
        <v>25</v>
      </c>
      <c r="L152" s="50" t="s">
        <v>30</v>
      </c>
      <c r="M152" s="51" t="s">
        <v>30</v>
      </c>
      <c r="N152" s="50">
        <v>4.53</v>
      </c>
      <c r="O152" s="50">
        <v>2.14</v>
      </c>
      <c r="P152" s="82">
        <v>31.67</v>
      </c>
      <c r="Q152" s="39">
        <v>10145003</v>
      </c>
      <c r="R152" s="46"/>
      <c r="S152" s="46"/>
      <c r="T152" s="46"/>
      <c r="U152" t="str">
        <f>IFERROR(+VLOOKUP(H152,'DISPOSITIVOS ACTIVOS'!B:D,3,FALSE),"IPHONE")</f>
        <v>no aplica</v>
      </c>
      <c r="V152" t="str">
        <f>IFERROR(+VLOOKUP(H152,'[1]Migracion feb25 Ver to ATT'!$B:$G,6,FALSE), "NO MIGRADO")</f>
        <v>NO MIGRADO</v>
      </c>
      <c r="W152" s="26">
        <v>25</v>
      </c>
    </row>
    <row r="153" spans="1:23" x14ac:dyDescent="0.3">
      <c r="A153" t="s">
        <v>1140</v>
      </c>
      <c r="B153" s="46" t="s">
        <v>22</v>
      </c>
      <c r="C153" s="46" t="s">
        <v>1141</v>
      </c>
      <c r="D153" s="46">
        <v>7</v>
      </c>
      <c r="E153" s="46">
        <v>2025</v>
      </c>
      <c r="F153" s="46">
        <v>10</v>
      </c>
      <c r="G153" s="99" t="s">
        <v>90</v>
      </c>
      <c r="H153" s="36" t="s">
        <v>89</v>
      </c>
      <c r="I153" s="47" t="s">
        <v>328</v>
      </c>
      <c r="J153" s="47" t="s">
        <v>30</v>
      </c>
      <c r="K153" s="48" t="s">
        <v>30</v>
      </c>
      <c r="L153" s="47" t="s">
        <v>30</v>
      </c>
      <c r="M153" s="48" t="s">
        <v>30</v>
      </c>
      <c r="N153" s="48" t="s">
        <v>30</v>
      </c>
      <c r="O153" s="47" t="s">
        <v>30</v>
      </c>
      <c r="P153" s="83">
        <v>0</v>
      </c>
      <c r="Q153" s="86">
        <v>60311005</v>
      </c>
      <c r="R153" s="89" t="s">
        <v>1079</v>
      </c>
      <c r="S153" s="90" t="s">
        <v>1089</v>
      </c>
      <c r="T153" s="89" t="s">
        <v>1090</v>
      </c>
      <c r="U153" t="str">
        <f>IFERROR(+VLOOKUP(H153,'DISPOSITIVOS ACTIVOS'!B:D,3,FALSE),"IPHONE")</f>
        <v>IPHONE</v>
      </c>
      <c r="V153" t="str">
        <f>IFERROR(+VLOOKUP(H153,'[1]Migracion feb25 Ver to ATT'!$B:$G,6,FALSE), "NO MIGRADO")</f>
        <v>NO MIGRADO</v>
      </c>
      <c r="W153" s="26">
        <v>25</v>
      </c>
    </row>
    <row r="154" spans="1:23" x14ac:dyDescent="0.3">
      <c r="A154" t="s">
        <v>1140</v>
      </c>
      <c r="B154" s="46" t="s">
        <v>22</v>
      </c>
      <c r="C154" s="46" t="s">
        <v>1141</v>
      </c>
      <c r="D154" s="46">
        <v>7</v>
      </c>
      <c r="E154" s="46">
        <v>2025</v>
      </c>
      <c r="F154" s="46">
        <v>10</v>
      </c>
      <c r="G154" s="50" t="s">
        <v>92</v>
      </c>
      <c r="H154" s="37" t="s">
        <v>91</v>
      </c>
      <c r="I154" s="50" t="s">
        <v>331</v>
      </c>
      <c r="J154" s="50" t="s">
        <v>30</v>
      </c>
      <c r="K154" s="51">
        <v>15</v>
      </c>
      <c r="L154" s="50" t="s">
        <v>30</v>
      </c>
      <c r="M154" s="51" t="s">
        <v>30</v>
      </c>
      <c r="N154" s="50">
        <v>3.75</v>
      </c>
      <c r="O154" s="50" t="s">
        <v>30</v>
      </c>
      <c r="P154" s="82">
        <v>18.75</v>
      </c>
      <c r="Q154" s="39">
        <v>60311003</v>
      </c>
      <c r="R154" s="46" t="s">
        <v>1065</v>
      </c>
      <c r="S154" s="46" t="s">
        <v>1066</v>
      </c>
      <c r="T154" s="46" t="s">
        <v>1084</v>
      </c>
      <c r="U154" t="str">
        <f>IFERROR(+VLOOKUP(H154,'DISPOSITIVOS ACTIVOS'!B:D,3,FALSE),"IPHONE")</f>
        <v>Ipad</v>
      </c>
      <c r="V154" t="str">
        <f>IFERROR(+VLOOKUP(H154,'[1]Migracion feb25 Ver to ATT'!$B:$G,6,FALSE), "NO MIGRADO")</f>
        <v>NO MIGRADO</v>
      </c>
      <c r="W154" s="26">
        <v>15</v>
      </c>
    </row>
    <row r="155" spans="1:23" x14ac:dyDescent="0.3">
      <c r="A155" t="s">
        <v>1140</v>
      </c>
      <c r="B155" s="46" t="s">
        <v>22</v>
      </c>
      <c r="C155" s="46" t="s">
        <v>1141</v>
      </c>
      <c r="D155" s="46">
        <v>7</v>
      </c>
      <c r="E155" s="46">
        <v>2025</v>
      </c>
      <c r="F155" s="46">
        <v>10</v>
      </c>
      <c r="G155" s="47" t="s">
        <v>1146</v>
      </c>
      <c r="H155" s="36" t="s">
        <v>93</v>
      </c>
      <c r="I155" s="47" t="s">
        <v>333</v>
      </c>
      <c r="J155" s="47" t="s">
        <v>30</v>
      </c>
      <c r="K155" s="48">
        <v>50</v>
      </c>
      <c r="L155" s="47" t="s">
        <v>30</v>
      </c>
      <c r="M155" s="48" t="s">
        <v>30</v>
      </c>
      <c r="N155" s="48">
        <v>4.8600000000000003</v>
      </c>
      <c r="O155" s="47">
        <v>2.48</v>
      </c>
      <c r="P155" s="83">
        <v>57.34</v>
      </c>
      <c r="Q155" s="39">
        <v>60311005</v>
      </c>
      <c r="R155" s="46" t="s">
        <v>1065</v>
      </c>
      <c r="S155" s="46" t="s">
        <v>1066</v>
      </c>
      <c r="T155" s="46" t="s">
        <v>1084</v>
      </c>
      <c r="U155" t="str">
        <f>IFERROR(+VLOOKUP(H155,'DISPOSITIVOS ACTIVOS'!B:D,3,FALSE),"IPHONE")</f>
        <v>Iphone</v>
      </c>
      <c r="V155" t="str">
        <f>IFERROR(+VLOOKUP(H155,'[1]Migracion feb25 Ver to ATT'!$B:$G,6,FALSE), "NO MIGRADO")</f>
        <v>Iphone</v>
      </c>
      <c r="W155" s="26">
        <v>15</v>
      </c>
    </row>
    <row r="156" spans="1:23" x14ac:dyDescent="0.3">
      <c r="A156" t="s">
        <v>1140</v>
      </c>
      <c r="B156" s="46" t="s">
        <v>22</v>
      </c>
      <c r="C156" s="46" t="s">
        <v>1141</v>
      </c>
      <c r="D156" s="46">
        <v>7</v>
      </c>
      <c r="E156" s="46">
        <v>2025</v>
      </c>
      <c r="F156" s="46">
        <v>10</v>
      </c>
      <c r="G156" s="50" t="s">
        <v>96</v>
      </c>
      <c r="H156" s="37" t="s">
        <v>95</v>
      </c>
      <c r="I156" s="50" t="s">
        <v>334</v>
      </c>
      <c r="J156" s="50" t="s">
        <v>30</v>
      </c>
      <c r="K156" s="51">
        <v>50</v>
      </c>
      <c r="L156" s="50" t="s">
        <v>30</v>
      </c>
      <c r="M156" s="51" t="s">
        <v>30</v>
      </c>
      <c r="N156" s="50">
        <v>4.8600000000000003</v>
      </c>
      <c r="O156" s="50">
        <v>2.48</v>
      </c>
      <c r="P156" s="82">
        <v>57.34</v>
      </c>
      <c r="Q156" s="39">
        <v>60311005</v>
      </c>
      <c r="R156" s="46" t="s">
        <v>1065</v>
      </c>
      <c r="S156" s="46" t="s">
        <v>1066</v>
      </c>
      <c r="T156" s="46" t="s">
        <v>1067</v>
      </c>
      <c r="U156">
        <f>IFERROR(+VLOOKUP(H156,'DISPOSITIVOS ACTIVOS'!B:D,3,FALSE),"IPHONE")</f>
        <v>0</v>
      </c>
      <c r="V156" t="str">
        <f>IFERROR(+VLOOKUP(H156,'[1]Migracion feb25 Ver to ATT'!$B:$G,6,FALSE), "NO MIGRADO")</f>
        <v xml:space="preserve">Galaxy </v>
      </c>
      <c r="W156" s="26">
        <v>15</v>
      </c>
    </row>
    <row r="157" spans="1:23" x14ac:dyDescent="0.3">
      <c r="A157" t="s">
        <v>1140</v>
      </c>
      <c r="B157" s="46" t="s">
        <v>22</v>
      </c>
      <c r="C157" s="46" t="s">
        <v>1141</v>
      </c>
      <c r="D157" s="46">
        <v>7</v>
      </c>
      <c r="E157" s="46">
        <v>2025</v>
      </c>
      <c r="F157" s="46">
        <v>10</v>
      </c>
      <c r="G157" s="47" t="s">
        <v>98</v>
      </c>
      <c r="H157" s="36" t="s">
        <v>97</v>
      </c>
      <c r="I157" s="47" t="s">
        <v>338</v>
      </c>
      <c r="J157" s="47">
        <v>-35</v>
      </c>
      <c r="K157" s="48">
        <v>50</v>
      </c>
      <c r="L157" s="47" t="s">
        <v>30</v>
      </c>
      <c r="M157" s="48" t="s">
        <v>30</v>
      </c>
      <c r="N157" s="48">
        <v>4.2300000000000004</v>
      </c>
      <c r="O157" s="47">
        <v>1.92</v>
      </c>
      <c r="P157" s="83">
        <v>21.15</v>
      </c>
      <c r="Q157" s="39">
        <v>60311005</v>
      </c>
      <c r="R157" s="46" t="s">
        <v>1079</v>
      </c>
      <c r="S157" s="46" t="s">
        <v>1080</v>
      </c>
      <c r="T157" s="46" t="s">
        <v>1097</v>
      </c>
      <c r="U157" t="str">
        <f>IFERROR(+VLOOKUP(H157,'DISPOSITIVOS ACTIVOS'!B:D,3,FALSE),"IPHONE")</f>
        <v xml:space="preserve">Galaxy </v>
      </c>
      <c r="V157" t="str">
        <f>IFERROR(+VLOOKUP(H157,'[1]Migracion feb25 Ver to ATT'!$B:$G,6,FALSE), "NO MIGRADO")</f>
        <v xml:space="preserve">Galaxy </v>
      </c>
      <c r="W157" s="26">
        <v>15</v>
      </c>
    </row>
    <row r="158" spans="1:23" x14ac:dyDescent="0.3">
      <c r="A158" t="s">
        <v>1140</v>
      </c>
      <c r="B158" s="46" t="s">
        <v>22</v>
      </c>
      <c r="C158" s="46" t="s">
        <v>1141</v>
      </c>
      <c r="D158" s="46">
        <v>7</v>
      </c>
      <c r="E158" s="46">
        <v>2025</v>
      </c>
      <c r="F158" s="46">
        <v>10</v>
      </c>
      <c r="G158" s="50" t="s">
        <v>100</v>
      </c>
      <c r="H158" s="37" t="s">
        <v>99</v>
      </c>
      <c r="I158" s="50" t="s">
        <v>341</v>
      </c>
      <c r="J158" s="50" t="s">
        <v>30</v>
      </c>
      <c r="K158" s="51">
        <v>50</v>
      </c>
      <c r="L158" s="50" t="s">
        <v>30</v>
      </c>
      <c r="M158" s="51" t="s">
        <v>30</v>
      </c>
      <c r="N158" s="50">
        <v>4.8600000000000003</v>
      </c>
      <c r="O158" s="50">
        <v>2.48</v>
      </c>
      <c r="P158" s="82">
        <v>57.34</v>
      </c>
      <c r="Q158" s="39">
        <v>60311005</v>
      </c>
      <c r="R158" s="46" t="s">
        <v>1065</v>
      </c>
      <c r="S158" s="46" t="s">
        <v>1066</v>
      </c>
      <c r="T158" s="46" t="s">
        <v>1085</v>
      </c>
      <c r="U158" t="str">
        <f>IFERROR(+VLOOKUP(H158,'DISPOSITIVOS ACTIVOS'!B:D,3,FALSE),"IPHONE")</f>
        <v>Iphone</v>
      </c>
      <c r="V158" t="str">
        <f>IFERROR(+VLOOKUP(H158,'[1]Migracion feb25 Ver to ATT'!$B:$G,6,FALSE), "NO MIGRADO")</f>
        <v>Iphone</v>
      </c>
      <c r="W158" s="26">
        <v>15</v>
      </c>
    </row>
    <row r="159" spans="1:23" x14ac:dyDescent="0.3">
      <c r="A159" t="s">
        <v>1140</v>
      </c>
      <c r="B159" s="46" t="s">
        <v>22</v>
      </c>
      <c r="C159" s="46" t="s">
        <v>1141</v>
      </c>
      <c r="D159" s="46">
        <v>7</v>
      </c>
      <c r="E159" s="46">
        <v>2025</v>
      </c>
      <c r="F159" s="46">
        <v>10</v>
      </c>
      <c r="G159" s="47" t="s">
        <v>102</v>
      </c>
      <c r="H159" s="36" t="s">
        <v>101</v>
      </c>
      <c r="I159" s="47" t="s">
        <v>342</v>
      </c>
      <c r="J159" s="47" t="s">
        <v>30</v>
      </c>
      <c r="K159" s="48">
        <v>50</v>
      </c>
      <c r="L159" s="47" t="s">
        <v>30</v>
      </c>
      <c r="M159" s="48" t="s">
        <v>30</v>
      </c>
      <c r="N159" s="48">
        <v>4.8600000000000003</v>
      </c>
      <c r="O159" s="47">
        <v>2.48</v>
      </c>
      <c r="P159" s="83">
        <v>57.34</v>
      </c>
      <c r="Q159" s="39">
        <v>60311005</v>
      </c>
      <c r="R159" s="46" t="s">
        <v>1065</v>
      </c>
      <c r="S159" s="46" t="s">
        <v>1066</v>
      </c>
      <c r="T159" s="46" t="s">
        <v>1085</v>
      </c>
      <c r="U159" t="str">
        <f>IFERROR(+VLOOKUP(H159,'DISPOSITIVOS ACTIVOS'!B:D,3,FALSE),"IPHONE")</f>
        <v>Iphone</v>
      </c>
      <c r="V159" t="str">
        <f>IFERROR(+VLOOKUP(H159,'[1]Migracion feb25 Ver to ATT'!$B:$G,6,FALSE), "NO MIGRADO")</f>
        <v>Iphone</v>
      </c>
      <c r="W159" s="26">
        <v>15</v>
      </c>
    </row>
    <row r="160" spans="1:23" x14ac:dyDescent="0.3">
      <c r="A160" t="s">
        <v>1140</v>
      </c>
      <c r="B160" s="46" t="s">
        <v>22</v>
      </c>
      <c r="C160" s="46" t="s">
        <v>1141</v>
      </c>
      <c r="D160" s="46">
        <v>7</v>
      </c>
      <c r="E160" s="46">
        <v>2025</v>
      </c>
      <c r="F160" s="46">
        <v>10</v>
      </c>
      <c r="G160" s="50" t="s">
        <v>1147</v>
      </c>
      <c r="H160" s="37" t="s">
        <v>103</v>
      </c>
      <c r="I160" s="50" t="s">
        <v>343</v>
      </c>
      <c r="J160" s="50" t="s">
        <v>30</v>
      </c>
      <c r="K160" s="51">
        <v>25</v>
      </c>
      <c r="L160" s="50">
        <v>5</v>
      </c>
      <c r="M160" s="51" t="s">
        <v>30</v>
      </c>
      <c r="N160" s="50">
        <v>4.5999999999999996</v>
      </c>
      <c r="O160" s="50">
        <v>2.71</v>
      </c>
      <c r="P160" s="82">
        <v>37.31</v>
      </c>
      <c r="Q160" s="39">
        <v>60311005</v>
      </c>
      <c r="R160" s="46" t="s">
        <v>1065</v>
      </c>
      <c r="S160" s="46" t="s">
        <v>1100</v>
      </c>
      <c r="T160" s="46" t="s">
        <v>1101</v>
      </c>
      <c r="U160" t="str">
        <f>IFERROR(+VLOOKUP(H160,'DISPOSITIVOS ACTIVOS'!B:D,3,FALSE),"IPHONE")</f>
        <v>Iphone</v>
      </c>
      <c r="V160" t="str">
        <f>IFERROR(+VLOOKUP(H160,'[1]Migracion feb25 Ver to ATT'!$B:$G,6,FALSE), "NO MIGRADO")</f>
        <v>NO MIGRADO</v>
      </c>
      <c r="W160" s="26">
        <v>25</v>
      </c>
    </row>
    <row r="161" spans="1:23" x14ac:dyDescent="0.3">
      <c r="A161" t="s">
        <v>1140</v>
      </c>
      <c r="B161" s="46" t="s">
        <v>22</v>
      </c>
      <c r="C161" s="46" t="s">
        <v>1141</v>
      </c>
      <c r="D161" s="46">
        <v>7</v>
      </c>
      <c r="E161" s="46">
        <v>2025</v>
      </c>
      <c r="F161" s="46">
        <v>10</v>
      </c>
      <c r="G161" s="47" t="s">
        <v>106</v>
      </c>
      <c r="H161" s="36" t="s">
        <v>105</v>
      </c>
      <c r="I161" s="47" t="s">
        <v>346</v>
      </c>
      <c r="J161" s="47" t="s">
        <v>30</v>
      </c>
      <c r="K161" s="48">
        <v>50</v>
      </c>
      <c r="L161" s="47" t="s">
        <v>30</v>
      </c>
      <c r="M161" s="48" t="s">
        <v>30</v>
      </c>
      <c r="N161" s="48">
        <v>4.8600000000000003</v>
      </c>
      <c r="O161" s="47">
        <v>2.48</v>
      </c>
      <c r="P161" s="83">
        <v>57.34</v>
      </c>
      <c r="Q161" s="39">
        <v>60311005</v>
      </c>
      <c r="R161" s="46" t="s">
        <v>1065</v>
      </c>
      <c r="S161" s="46" t="s">
        <v>1066</v>
      </c>
      <c r="T161" s="46" t="s">
        <v>1084</v>
      </c>
      <c r="U161" t="str">
        <f>IFERROR(+VLOOKUP(H161,'DISPOSITIVOS ACTIVOS'!B:D,3,FALSE),"IPHONE")</f>
        <v>Iphone</v>
      </c>
      <c r="V161" t="str">
        <f>IFERROR(+VLOOKUP(H161,'[1]Migracion feb25 Ver to ATT'!$B:$G,6,FALSE), "NO MIGRADO")</f>
        <v>Iphone</v>
      </c>
      <c r="W161" s="26">
        <v>15</v>
      </c>
    </row>
    <row r="162" spans="1:23" x14ac:dyDescent="0.3">
      <c r="A162" t="s">
        <v>1140</v>
      </c>
      <c r="B162" s="46" t="s">
        <v>22</v>
      </c>
      <c r="C162" s="46" t="s">
        <v>1141</v>
      </c>
      <c r="D162" s="46">
        <v>7</v>
      </c>
      <c r="E162" s="46">
        <v>2025</v>
      </c>
      <c r="F162" s="46">
        <v>10</v>
      </c>
      <c r="G162" s="98" t="s">
        <v>1148</v>
      </c>
      <c r="H162" s="37" t="s">
        <v>1149</v>
      </c>
      <c r="I162" s="50" t="s">
        <v>347</v>
      </c>
      <c r="J162" s="50">
        <v>14</v>
      </c>
      <c r="K162" s="51">
        <v>15</v>
      </c>
      <c r="L162" s="50" t="s">
        <v>30</v>
      </c>
      <c r="M162" s="51" t="s">
        <v>30</v>
      </c>
      <c r="N162" s="50">
        <v>3.83</v>
      </c>
      <c r="O162" s="50" t="s">
        <v>30</v>
      </c>
      <c r="P162" s="82">
        <v>32.83</v>
      </c>
      <c r="Q162" s="39">
        <v>60311005</v>
      </c>
      <c r="R162" s="46" t="s">
        <v>1065</v>
      </c>
      <c r="S162" s="46" t="s">
        <v>1066</v>
      </c>
      <c r="T162" s="46" t="s">
        <v>1085</v>
      </c>
      <c r="U162" t="str">
        <f>IFERROR(+VLOOKUP(H162,'DISPOSITIVOS ACTIVOS'!B:D,3,FALSE),"IPHONE")</f>
        <v>IPHONE</v>
      </c>
      <c r="V162" t="str">
        <f>IFERROR(+VLOOKUP(H162,'[1]Migracion feb25 Ver to ATT'!$B:$G,6,FALSE), "NO MIGRADO")</f>
        <v>NO MIGRADO</v>
      </c>
      <c r="W162" s="26">
        <v>25</v>
      </c>
    </row>
    <row r="163" spans="1:23" x14ac:dyDescent="0.3">
      <c r="A163" t="s">
        <v>1140</v>
      </c>
      <c r="B163" s="46" t="s">
        <v>22</v>
      </c>
      <c r="C163" s="46" t="s">
        <v>1141</v>
      </c>
      <c r="D163" s="46">
        <v>7</v>
      </c>
      <c r="E163" s="46">
        <v>2025</v>
      </c>
      <c r="F163" s="46">
        <v>10</v>
      </c>
      <c r="G163" s="99" t="s">
        <v>1148</v>
      </c>
      <c r="H163" s="36" t="s">
        <v>1150</v>
      </c>
      <c r="I163" s="47" t="s">
        <v>348</v>
      </c>
      <c r="J163" s="47">
        <v>-23.33</v>
      </c>
      <c r="K163" s="48">
        <v>50</v>
      </c>
      <c r="L163" s="47" t="s">
        <v>30</v>
      </c>
      <c r="M163" s="48" t="s">
        <v>30</v>
      </c>
      <c r="N163" s="48">
        <v>4.28</v>
      </c>
      <c r="O163" s="47">
        <v>0.75</v>
      </c>
      <c r="P163" s="83">
        <v>31.7</v>
      </c>
      <c r="Q163" s="39">
        <v>60311005</v>
      </c>
      <c r="R163" s="46" t="s">
        <v>1065</v>
      </c>
      <c r="S163" s="46" t="s">
        <v>1066</v>
      </c>
      <c r="T163" s="46" t="s">
        <v>1085</v>
      </c>
      <c r="U163" t="str">
        <f>IFERROR(+VLOOKUP(H163,'DISPOSITIVOS ACTIVOS'!B:D,3,FALSE),"IPHONE")</f>
        <v>IPHONE</v>
      </c>
      <c r="V163" t="str">
        <f>IFERROR(+VLOOKUP(H163,'[1]Migracion feb25 Ver to ATT'!$B:$G,6,FALSE), "NO MIGRADO")</f>
        <v>NO MIGRADO</v>
      </c>
      <c r="W163" s="26">
        <v>25</v>
      </c>
    </row>
    <row r="164" spans="1:23" x14ac:dyDescent="0.3">
      <c r="A164" t="s">
        <v>1140</v>
      </c>
      <c r="B164" s="46" t="s">
        <v>22</v>
      </c>
      <c r="C164" s="46" t="s">
        <v>1141</v>
      </c>
      <c r="D164" s="46">
        <v>7</v>
      </c>
      <c r="E164" s="46">
        <v>2025</v>
      </c>
      <c r="F164" s="46">
        <v>10</v>
      </c>
      <c r="G164" s="50" t="s">
        <v>108</v>
      </c>
      <c r="H164" s="37" t="s">
        <v>107</v>
      </c>
      <c r="I164" s="50" t="s">
        <v>351</v>
      </c>
      <c r="J164" s="50" t="s">
        <v>30</v>
      </c>
      <c r="K164" s="51">
        <v>50</v>
      </c>
      <c r="L164" s="50" t="s">
        <v>30</v>
      </c>
      <c r="M164" s="51" t="s">
        <v>30</v>
      </c>
      <c r="N164" s="50">
        <v>4.8600000000000003</v>
      </c>
      <c r="O164" s="50">
        <v>2.48</v>
      </c>
      <c r="P164" s="82">
        <v>57.34</v>
      </c>
      <c r="Q164" s="39">
        <v>60311005</v>
      </c>
      <c r="R164" s="46" t="s">
        <v>1065</v>
      </c>
      <c r="S164" s="46" t="s">
        <v>1066</v>
      </c>
      <c r="T164" s="46" t="s">
        <v>1067</v>
      </c>
      <c r="U164" t="str">
        <f>IFERROR(+VLOOKUP(H164,'DISPOSITIVOS ACTIVOS'!B:D,3,FALSE),"IPHONE")</f>
        <v>Iphone</v>
      </c>
      <c r="V164" t="str">
        <f>IFERROR(+VLOOKUP(H164,'[1]Migracion feb25 Ver to ATT'!$B:$G,6,FALSE), "NO MIGRADO")</f>
        <v>Iphone</v>
      </c>
      <c r="W164" s="26">
        <v>15</v>
      </c>
    </row>
    <row r="165" spans="1:23" x14ac:dyDescent="0.3">
      <c r="A165" t="s">
        <v>1140</v>
      </c>
      <c r="B165" s="46" t="s">
        <v>22</v>
      </c>
      <c r="C165" s="46" t="s">
        <v>1141</v>
      </c>
      <c r="D165" s="46">
        <v>7</v>
      </c>
      <c r="E165" s="46">
        <v>2025</v>
      </c>
      <c r="F165" s="46">
        <v>10</v>
      </c>
      <c r="G165" s="47" t="s">
        <v>110</v>
      </c>
      <c r="H165" s="36" t="s">
        <v>109</v>
      </c>
      <c r="I165" s="47" t="s">
        <v>353</v>
      </c>
      <c r="J165" s="47">
        <v>-35</v>
      </c>
      <c r="K165" s="48">
        <v>50</v>
      </c>
      <c r="L165" s="47" t="s">
        <v>30</v>
      </c>
      <c r="M165" s="48" t="s">
        <v>30</v>
      </c>
      <c r="N165" s="48">
        <v>4.2300000000000004</v>
      </c>
      <c r="O165" s="47">
        <v>1.92</v>
      </c>
      <c r="P165" s="83">
        <v>21.15</v>
      </c>
      <c r="Q165" s="39">
        <v>60311005</v>
      </c>
      <c r="R165" s="46" t="s">
        <v>1079</v>
      </c>
      <c r="S165" s="46" t="s">
        <v>1080</v>
      </c>
      <c r="T165" s="46" t="s">
        <v>1104</v>
      </c>
      <c r="U165" t="str">
        <f>IFERROR(+VLOOKUP(H165,'DISPOSITIVOS ACTIVOS'!B:D,3,FALSE),"IPHONE")</f>
        <v>Galaxy</v>
      </c>
      <c r="V165" t="str">
        <f>IFERROR(+VLOOKUP(H165,'[1]Migracion feb25 Ver to ATT'!$B:$G,6,FALSE), "NO MIGRADO")</f>
        <v xml:space="preserve">Galaxy </v>
      </c>
      <c r="W165" s="26">
        <v>15</v>
      </c>
    </row>
    <row r="166" spans="1:23" x14ac:dyDescent="0.3">
      <c r="A166" t="s">
        <v>1140</v>
      </c>
      <c r="B166" s="46" t="s">
        <v>22</v>
      </c>
      <c r="C166" s="46" t="s">
        <v>1141</v>
      </c>
      <c r="D166" s="46">
        <v>7</v>
      </c>
      <c r="E166" s="46">
        <v>2025</v>
      </c>
      <c r="F166" s="46">
        <v>10</v>
      </c>
      <c r="G166" s="50" t="s">
        <v>1151</v>
      </c>
      <c r="H166" s="37" t="s">
        <v>111</v>
      </c>
      <c r="I166" s="50" t="s">
        <v>356</v>
      </c>
      <c r="J166" s="50" t="s">
        <v>30</v>
      </c>
      <c r="K166" s="51">
        <v>25</v>
      </c>
      <c r="L166" s="50" t="s">
        <v>30</v>
      </c>
      <c r="M166" s="51" t="s">
        <v>30</v>
      </c>
      <c r="N166" s="50">
        <v>4.53</v>
      </c>
      <c r="O166" s="50">
        <v>4.3099999999999996</v>
      </c>
      <c r="P166" s="82">
        <v>33.840000000000003</v>
      </c>
      <c r="Q166" s="39">
        <v>60311005</v>
      </c>
      <c r="R166" s="46" t="s">
        <v>1079</v>
      </c>
      <c r="S166" s="46" t="s">
        <v>1080</v>
      </c>
      <c r="T166" s="46" t="s">
        <v>1097</v>
      </c>
      <c r="U166" t="str">
        <f>IFERROR(+VLOOKUP(H166,'DISPOSITIVOS ACTIVOS'!B:D,3,FALSE),"IPHONE")</f>
        <v>Motorola</v>
      </c>
      <c r="V166" t="str">
        <f>IFERROR(+VLOOKUP(H166,'[1]Migracion feb25 Ver to ATT'!$B:$G,6,FALSE), "NO MIGRADO")</f>
        <v>NO MIGRADO</v>
      </c>
      <c r="W166" s="26">
        <v>25</v>
      </c>
    </row>
    <row r="167" spans="1:23" x14ac:dyDescent="0.3">
      <c r="A167" t="s">
        <v>1140</v>
      </c>
      <c r="B167" s="46" t="s">
        <v>22</v>
      </c>
      <c r="C167" s="46" t="s">
        <v>1141</v>
      </c>
      <c r="D167" s="46">
        <v>7</v>
      </c>
      <c r="E167" s="46">
        <v>2025</v>
      </c>
      <c r="F167" s="46">
        <v>10</v>
      </c>
      <c r="G167" s="99" t="s">
        <v>29</v>
      </c>
      <c r="H167" s="36" t="s">
        <v>113</v>
      </c>
      <c r="I167" s="47" t="s">
        <v>357</v>
      </c>
      <c r="J167" s="47" t="s">
        <v>30</v>
      </c>
      <c r="K167" s="48">
        <v>10</v>
      </c>
      <c r="L167" s="47" t="s">
        <v>30</v>
      </c>
      <c r="M167" s="48" t="s">
        <v>30</v>
      </c>
      <c r="N167" s="48" t="s">
        <v>30</v>
      </c>
      <c r="O167" s="47" t="s">
        <v>30</v>
      </c>
      <c r="P167" s="83">
        <v>10</v>
      </c>
      <c r="Q167" s="39">
        <v>60311003</v>
      </c>
      <c r="R167" s="46" t="s">
        <v>1065</v>
      </c>
      <c r="S167" s="46" t="s">
        <v>1066</v>
      </c>
      <c r="T167" s="46" t="s">
        <v>1067</v>
      </c>
      <c r="U167" t="str">
        <f>IFERROR(+VLOOKUP(H167,'DISPOSITIVOS ACTIVOS'!B:D,3,FALSE),"IPHONE")</f>
        <v>IPHONE</v>
      </c>
      <c r="V167" t="str">
        <f>IFERROR(+VLOOKUP(H167,'[1]Migracion feb25 Ver to ATT'!$B:$G,6,FALSE), "NO MIGRADO")</f>
        <v>NO MIGRADO</v>
      </c>
      <c r="W167" s="26">
        <v>25</v>
      </c>
    </row>
    <row r="168" spans="1:23" x14ac:dyDescent="0.3">
      <c r="A168" t="s">
        <v>1140</v>
      </c>
      <c r="B168" s="46" t="s">
        <v>22</v>
      </c>
      <c r="C168" s="46" t="s">
        <v>1141</v>
      </c>
      <c r="D168" s="46">
        <v>7</v>
      </c>
      <c r="E168" s="46">
        <v>2025</v>
      </c>
      <c r="F168" s="46">
        <v>10</v>
      </c>
      <c r="G168" s="50" t="s">
        <v>116</v>
      </c>
      <c r="H168" s="37" t="s">
        <v>115</v>
      </c>
      <c r="I168" s="50" t="s">
        <v>358</v>
      </c>
      <c r="J168" s="50" t="s">
        <v>30</v>
      </c>
      <c r="K168" s="51">
        <v>15</v>
      </c>
      <c r="L168" s="50" t="s">
        <v>30</v>
      </c>
      <c r="M168" s="51" t="s">
        <v>30</v>
      </c>
      <c r="N168" s="50">
        <v>3.75</v>
      </c>
      <c r="O168" s="50" t="s">
        <v>30</v>
      </c>
      <c r="P168" s="82">
        <v>18.75</v>
      </c>
      <c r="Q168" s="39">
        <v>10145005</v>
      </c>
      <c r="R168" s="46"/>
      <c r="S168" s="46"/>
      <c r="T168" s="46"/>
      <c r="U168" t="str">
        <f>IFERROR(+VLOOKUP(H168,'DISPOSITIVOS ACTIVOS'!B:D,3,FALSE),"IPHONE")</f>
        <v>Ipad</v>
      </c>
      <c r="V168" t="str">
        <f>IFERROR(+VLOOKUP(H168,'[1]Migracion feb25 Ver to ATT'!$B:$G,6,FALSE), "NO MIGRADO")</f>
        <v>Ipad</v>
      </c>
      <c r="W168" s="26">
        <v>15</v>
      </c>
    </row>
    <row r="169" spans="1:23" x14ac:dyDescent="0.3">
      <c r="A169" t="s">
        <v>1140</v>
      </c>
      <c r="B169" s="46" t="s">
        <v>22</v>
      </c>
      <c r="C169" s="46" t="s">
        <v>1141</v>
      </c>
      <c r="D169" s="46">
        <v>7</v>
      </c>
      <c r="E169" s="46">
        <v>2025</v>
      </c>
      <c r="F169" s="46">
        <v>10</v>
      </c>
      <c r="G169" s="47" t="s">
        <v>118</v>
      </c>
      <c r="H169" s="36" t="s">
        <v>117</v>
      </c>
      <c r="I169" s="47" t="s">
        <v>359</v>
      </c>
      <c r="J169" s="47" t="s">
        <v>30</v>
      </c>
      <c r="K169" s="48">
        <v>25</v>
      </c>
      <c r="L169" s="47">
        <v>25</v>
      </c>
      <c r="M169" s="48" t="s">
        <v>30</v>
      </c>
      <c r="N169" s="48">
        <v>4.53</v>
      </c>
      <c r="O169" s="47">
        <v>4.3099999999999996</v>
      </c>
      <c r="P169" s="83">
        <v>58.84</v>
      </c>
      <c r="Q169" s="39">
        <v>60311005</v>
      </c>
      <c r="R169" s="46" t="s">
        <v>1105</v>
      </c>
      <c r="S169" s="46" t="s">
        <v>1106</v>
      </c>
      <c r="T169" s="46" t="s">
        <v>1107</v>
      </c>
      <c r="U169" t="str">
        <f>IFERROR(+VLOOKUP(H169,'DISPOSITIVOS ACTIVOS'!B:D,3,FALSE),"IPHONE")</f>
        <v>Iphone</v>
      </c>
      <c r="V169" t="str">
        <f>IFERROR(+VLOOKUP(H169,'[1]Migracion feb25 Ver to ATT'!$B:$G,6,FALSE), "NO MIGRADO")</f>
        <v>NO MIGRADO</v>
      </c>
      <c r="W169" s="26">
        <v>25</v>
      </c>
    </row>
    <row r="170" spans="1:23" x14ac:dyDescent="0.3">
      <c r="A170" t="s">
        <v>1140</v>
      </c>
      <c r="B170" s="46" t="s">
        <v>22</v>
      </c>
      <c r="C170" s="46" t="s">
        <v>1141</v>
      </c>
      <c r="D170" s="46">
        <v>7</v>
      </c>
      <c r="E170" s="46">
        <v>2025</v>
      </c>
      <c r="F170" s="46">
        <v>10</v>
      </c>
      <c r="G170" s="50" t="s">
        <v>120</v>
      </c>
      <c r="H170" s="37" t="s">
        <v>119</v>
      </c>
      <c r="I170" s="50" t="s">
        <v>360</v>
      </c>
      <c r="J170" s="50">
        <v>-20.5</v>
      </c>
      <c r="K170" s="51">
        <v>25</v>
      </c>
      <c r="L170" s="50" t="s">
        <v>30</v>
      </c>
      <c r="M170" s="51" t="s">
        <v>30</v>
      </c>
      <c r="N170" s="50">
        <v>4.26</v>
      </c>
      <c r="O170" s="50">
        <v>6.02</v>
      </c>
      <c r="P170" s="82">
        <v>14.78</v>
      </c>
      <c r="Q170" s="39">
        <v>60311005</v>
      </c>
      <c r="R170" s="46" t="s">
        <v>1079</v>
      </c>
      <c r="S170" s="46" t="s">
        <v>1089</v>
      </c>
      <c r="T170" s="46" t="s">
        <v>1090</v>
      </c>
      <c r="U170" t="str">
        <f>IFERROR(+VLOOKUP(H170,'DISPOSITIVOS ACTIVOS'!B:D,3,FALSE),"IPHONE")</f>
        <v>Galaxy</v>
      </c>
      <c r="V170" t="str">
        <f>IFERROR(+VLOOKUP(H170,'[1]Migracion feb25 Ver to ATT'!$B:$G,6,FALSE), "NO MIGRADO")</f>
        <v>NO MIGRADO</v>
      </c>
      <c r="W170" s="26">
        <v>25</v>
      </c>
    </row>
    <row r="171" spans="1:23" x14ac:dyDescent="0.3">
      <c r="A171" t="s">
        <v>1140</v>
      </c>
      <c r="B171" s="46" t="s">
        <v>22</v>
      </c>
      <c r="C171" s="46" t="s">
        <v>1141</v>
      </c>
      <c r="D171" s="46">
        <v>7</v>
      </c>
      <c r="E171" s="46">
        <v>2025</v>
      </c>
      <c r="F171" s="46">
        <v>10</v>
      </c>
      <c r="G171" s="47" t="s">
        <v>122</v>
      </c>
      <c r="H171" s="36" t="s">
        <v>121</v>
      </c>
      <c r="I171" s="47" t="s">
        <v>365</v>
      </c>
      <c r="J171" s="47" t="s">
        <v>30</v>
      </c>
      <c r="K171" s="48">
        <v>50</v>
      </c>
      <c r="L171" s="47" t="s">
        <v>30</v>
      </c>
      <c r="M171" s="48" t="s">
        <v>30</v>
      </c>
      <c r="N171" s="48">
        <v>4.8600000000000003</v>
      </c>
      <c r="O171" s="47">
        <v>2.48</v>
      </c>
      <c r="P171" s="83">
        <v>57.34</v>
      </c>
      <c r="Q171" s="39">
        <v>60311005</v>
      </c>
      <c r="R171" s="46" t="s">
        <v>1079</v>
      </c>
      <c r="S171" s="46" t="s">
        <v>1089</v>
      </c>
      <c r="T171" s="46" t="s">
        <v>1090</v>
      </c>
      <c r="U171" t="str">
        <f>IFERROR(+VLOOKUP(H171,'DISPOSITIVOS ACTIVOS'!B:D,3,FALSE),"IPHONE")</f>
        <v>Iphone</v>
      </c>
      <c r="V171" t="str">
        <f>IFERROR(+VLOOKUP(H171,'[1]Migracion feb25 Ver to ATT'!$B:$G,6,FALSE), "NO MIGRADO")</f>
        <v>Iphone</v>
      </c>
      <c r="W171" s="26">
        <v>15</v>
      </c>
    </row>
    <row r="172" spans="1:23" x14ac:dyDescent="0.3">
      <c r="A172" t="s">
        <v>1140</v>
      </c>
      <c r="B172" s="46" t="s">
        <v>22</v>
      </c>
      <c r="C172" s="46" t="s">
        <v>1141</v>
      </c>
      <c r="D172" s="46">
        <v>7</v>
      </c>
      <c r="E172" s="46">
        <v>2025</v>
      </c>
      <c r="F172" s="46">
        <v>10</v>
      </c>
      <c r="G172" s="50" t="s">
        <v>124</v>
      </c>
      <c r="H172" s="37" t="s">
        <v>123</v>
      </c>
      <c r="I172" s="50" t="s">
        <v>366</v>
      </c>
      <c r="J172" s="50">
        <v>103.77</v>
      </c>
      <c r="K172" s="51">
        <v>25</v>
      </c>
      <c r="L172" s="50">
        <v>38.89</v>
      </c>
      <c r="M172" s="51">
        <v>110</v>
      </c>
      <c r="N172" s="50">
        <v>10.08</v>
      </c>
      <c r="O172" s="50">
        <v>7.81</v>
      </c>
      <c r="P172" s="82">
        <v>295.55</v>
      </c>
      <c r="Q172" s="39">
        <v>60311005</v>
      </c>
      <c r="R172" s="46" t="s">
        <v>1111</v>
      </c>
      <c r="S172" s="46" t="s">
        <v>1112</v>
      </c>
      <c r="T172" s="46" t="s">
        <v>1113</v>
      </c>
      <c r="U172" t="str">
        <f>IFERROR(+VLOOKUP(H172,'DISPOSITIVOS ACTIVOS'!B:D,3,FALSE),"IPHONE")</f>
        <v>Iphone</v>
      </c>
      <c r="V172" t="str">
        <f>IFERROR(+VLOOKUP(H172,'[1]Migracion feb25 Ver to ATT'!$B:$G,6,FALSE), "NO MIGRADO")</f>
        <v>NO MIGRADO</v>
      </c>
      <c r="W172" s="26">
        <v>25</v>
      </c>
    </row>
    <row r="173" spans="1:23" x14ac:dyDescent="0.3">
      <c r="A173" t="s">
        <v>1140</v>
      </c>
      <c r="B173" s="46" t="s">
        <v>22</v>
      </c>
      <c r="C173" s="46" t="s">
        <v>1141</v>
      </c>
      <c r="D173" s="46">
        <v>7</v>
      </c>
      <c r="E173" s="46">
        <v>2025</v>
      </c>
      <c r="F173" s="46">
        <v>10</v>
      </c>
      <c r="G173" s="47" t="s">
        <v>1152</v>
      </c>
      <c r="H173" s="36" t="s">
        <v>125</v>
      </c>
      <c r="I173" s="47" t="s">
        <v>369</v>
      </c>
      <c r="J173" s="47" t="s">
        <v>30</v>
      </c>
      <c r="K173" s="48">
        <v>25</v>
      </c>
      <c r="L173" s="47" t="s">
        <v>30</v>
      </c>
      <c r="M173" s="48" t="s">
        <v>30</v>
      </c>
      <c r="N173" s="48">
        <v>4.53</v>
      </c>
      <c r="O173" s="47">
        <v>4.3099999999999996</v>
      </c>
      <c r="P173" s="83">
        <v>33.840000000000003</v>
      </c>
      <c r="Q173" s="39">
        <v>60311005</v>
      </c>
      <c r="R173" s="46" t="s">
        <v>1065</v>
      </c>
      <c r="S173" s="46" t="s">
        <v>1066</v>
      </c>
      <c r="T173" s="46" t="s">
        <v>1085</v>
      </c>
      <c r="U173" t="str">
        <f>IFERROR(+VLOOKUP(H173,'DISPOSITIVOS ACTIVOS'!B:D,3,FALSE),"IPHONE")</f>
        <v>Iphone</v>
      </c>
      <c r="V173" t="str">
        <f>IFERROR(+VLOOKUP(H173,'[1]Migracion feb25 Ver to ATT'!$B:$G,6,FALSE), "NO MIGRADO")</f>
        <v>NO MIGRADO</v>
      </c>
      <c r="W173" s="26">
        <v>25</v>
      </c>
    </row>
    <row r="174" spans="1:23" x14ac:dyDescent="0.3">
      <c r="A174" t="s">
        <v>1140</v>
      </c>
      <c r="B174" s="46" t="s">
        <v>22</v>
      </c>
      <c r="C174" s="46" t="s">
        <v>1141</v>
      </c>
      <c r="D174" s="46">
        <v>7</v>
      </c>
      <c r="E174" s="46">
        <v>2025</v>
      </c>
      <c r="F174" s="46">
        <v>10</v>
      </c>
      <c r="G174" s="50" t="s">
        <v>128</v>
      </c>
      <c r="H174" s="37" t="s">
        <v>127</v>
      </c>
      <c r="I174" s="50" t="s">
        <v>370</v>
      </c>
      <c r="J174" s="50" t="s">
        <v>30</v>
      </c>
      <c r="K174" s="51">
        <v>25</v>
      </c>
      <c r="L174" s="50" t="s">
        <v>30</v>
      </c>
      <c r="M174" s="51" t="s">
        <v>30</v>
      </c>
      <c r="N174" s="50">
        <v>4.53</v>
      </c>
      <c r="O174" s="50">
        <v>4.3099999999999996</v>
      </c>
      <c r="P174" s="82">
        <v>33.840000000000003</v>
      </c>
      <c r="Q174" s="39">
        <v>60311005</v>
      </c>
      <c r="R174" s="46" t="s">
        <v>1114</v>
      </c>
      <c r="S174" s="46" t="s">
        <v>1115</v>
      </c>
      <c r="T174" s="46" t="s">
        <v>1116</v>
      </c>
      <c r="U174" t="str">
        <f>IFERROR(+VLOOKUP(H174,'DISPOSITIVOS ACTIVOS'!B:D,3,FALSE),"IPHONE")</f>
        <v>Iphone</v>
      </c>
      <c r="V174" t="str">
        <f>IFERROR(+VLOOKUP(H174,'[1]Migracion feb25 Ver to ATT'!$B:$G,6,FALSE), "NO MIGRADO")</f>
        <v>NO MIGRADO</v>
      </c>
      <c r="W174" s="26">
        <v>25</v>
      </c>
    </row>
    <row r="175" spans="1:23" x14ac:dyDescent="0.3">
      <c r="A175" t="s">
        <v>1140</v>
      </c>
      <c r="B175" s="46" t="s">
        <v>22</v>
      </c>
      <c r="C175" s="46" t="s">
        <v>1141</v>
      </c>
      <c r="D175" s="46">
        <v>7</v>
      </c>
      <c r="E175" s="46">
        <v>2025</v>
      </c>
      <c r="F175" s="46">
        <v>10</v>
      </c>
      <c r="G175" s="47" t="s">
        <v>130</v>
      </c>
      <c r="H175" s="36" t="s">
        <v>129</v>
      </c>
      <c r="I175" s="47" t="s">
        <v>375</v>
      </c>
      <c r="J175" s="47" t="s">
        <v>30</v>
      </c>
      <c r="K175" s="48">
        <v>25</v>
      </c>
      <c r="L175" s="47" t="s">
        <v>30</v>
      </c>
      <c r="M175" s="48" t="s">
        <v>30</v>
      </c>
      <c r="N175" s="48">
        <v>4.53</v>
      </c>
      <c r="O175" s="47">
        <v>4.3099999999999996</v>
      </c>
      <c r="P175" s="83">
        <v>33.840000000000003</v>
      </c>
      <c r="Q175" s="39">
        <v>60311005</v>
      </c>
      <c r="R175" s="46" t="s">
        <v>1065</v>
      </c>
      <c r="S175" s="46" t="s">
        <v>1100</v>
      </c>
      <c r="T175" s="46" t="s">
        <v>1117</v>
      </c>
      <c r="U175" t="str">
        <f>IFERROR(+VLOOKUP(H175,'DISPOSITIVOS ACTIVOS'!B:D,3,FALSE),"IPHONE")</f>
        <v>Iphone</v>
      </c>
      <c r="V175" t="str">
        <f>IFERROR(+VLOOKUP(H175,'[1]Migracion feb25 Ver to ATT'!$B:$G,6,FALSE), "NO MIGRADO")</f>
        <v>NO MIGRADO</v>
      </c>
      <c r="W175" s="26">
        <v>25</v>
      </c>
    </row>
    <row r="176" spans="1:23" x14ac:dyDescent="0.3">
      <c r="A176" t="s">
        <v>1140</v>
      </c>
      <c r="B176" s="46" t="s">
        <v>22</v>
      </c>
      <c r="C176" s="46" t="s">
        <v>1141</v>
      </c>
      <c r="D176" s="46">
        <v>7</v>
      </c>
      <c r="E176" s="46">
        <v>2025</v>
      </c>
      <c r="F176" s="46">
        <v>10</v>
      </c>
      <c r="G176" s="50" t="s">
        <v>132</v>
      </c>
      <c r="H176" s="37" t="s">
        <v>131</v>
      </c>
      <c r="I176" s="50" t="s">
        <v>379</v>
      </c>
      <c r="J176" s="50" t="s">
        <v>30</v>
      </c>
      <c r="K176" s="51">
        <v>50</v>
      </c>
      <c r="L176" s="50" t="s">
        <v>30</v>
      </c>
      <c r="M176" s="51" t="s">
        <v>30</v>
      </c>
      <c r="N176" s="50">
        <v>4.8600000000000003</v>
      </c>
      <c r="O176" s="50">
        <v>2.48</v>
      </c>
      <c r="P176" s="82">
        <v>57.34</v>
      </c>
      <c r="Q176" s="39">
        <v>60311005</v>
      </c>
      <c r="R176" s="46" t="s">
        <v>1065</v>
      </c>
      <c r="S176" s="46" t="s">
        <v>1066</v>
      </c>
      <c r="T176" s="46" t="s">
        <v>1067</v>
      </c>
      <c r="U176" t="str">
        <f>IFERROR(+VLOOKUP(H176,'DISPOSITIVOS ACTIVOS'!B:D,3,FALSE),"IPHONE")</f>
        <v>Iphone</v>
      </c>
      <c r="V176" t="str">
        <f>IFERROR(+VLOOKUP(H176,'[1]Migracion feb25 Ver to ATT'!$B:$G,6,FALSE), "NO MIGRADO")</f>
        <v>Iphone</v>
      </c>
      <c r="W176" s="26">
        <v>15</v>
      </c>
    </row>
    <row r="177" spans="1:23" x14ac:dyDescent="0.3">
      <c r="A177" t="s">
        <v>1140</v>
      </c>
      <c r="B177" s="46" t="s">
        <v>22</v>
      </c>
      <c r="C177" s="46" t="s">
        <v>1141</v>
      </c>
      <c r="D177" s="46">
        <v>7</v>
      </c>
      <c r="E177" s="46">
        <v>2025</v>
      </c>
      <c r="F177" s="46">
        <v>10</v>
      </c>
      <c r="G177" s="99" t="s">
        <v>134</v>
      </c>
      <c r="H177" s="36" t="s">
        <v>133</v>
      </c>
      <c r="I177" s="47" t="s">
        <v>381</v>
      </c>
      <c r="J177" s="47" t="s">
        <v>30</v>
      </c>
      <c r="K177" s="48">
        <v>25</v>
      </c>
      <c r="L177" s="47" t="s">
        <v>30</v>
      </c>
      <c r="M177" s="48" t="s">
        <v>30</v>
      </c>
      <c r="N177" s="48">
        <v>0.33</v>
      </c>
      <c r="O177" s="47">
        <v>2.4</v>
      </c>
      <c r="P177" s="83">
        <v>27.73</v>
      </c>
      <c r="Q177" s="39">
        <v>60311005</v>
      </c>
      <c r="R177" s="46" t="s">
        <v>1065</v>
      </c>
      <c r="S177" s="46" t="s">
        <v>1100</v>
      </c>
      <c r="T177" s="46" t="s">
        <v>1117</v>
      </c>
      <c r="U177" t="str">
        <f>IFERROR(+VLOOKUP(H177,'DISPOSITIVOS ACTIVOS'!B:D,3,FALSE),"IPHONE")</f>
        <v>IPHONE</v>
      </c>
      <c r="V177" t="str">
        <f>IFERROR(+VLOOKUP(H177,'[1]Migracion feb25 Ver to ATT'!$B:$G,6,FALSE), "NO MIGRADO")</f>
        <v>NO MIGRADO</v>
      </c>
      <c r="W177" s="26">
        <v>25</v>
      </c>
    </row>
    <row r="178" spans="1:23" x14ac:dyDescent="0.3">
      <c r="A178" t="s">
        <v>1140</v>
      </c>
      <c r="B178" s="46" t="s">
        <v>22</v>
      </c>
      <c r="C178" s="46" t="s">
        <v>1141</v>
      </c>
      <c r="D178" s="46">
        <v>7</v>
      </c>
      <c r="E178" s="46">
        <v>2025</v>
      </c>
      <c r="F178" s="46">
        <v>10</v>
      </c>
      <c r="G178" s="50" t="s">
        <v>136</v>
      </c>
      <c r="H178" s="37" t="s">
        <v>135</v>
      </c>
      <c r="I178" s="50" t="s">
        <v>382</v>
      </c>
      <c r="J178" s="50">
        <v>73.33</v>
      </c>
      <c r="K178" s="51">
        <v>25</v>
      </c>
      <c r="L178" s="50">
        <v>30.56</v>
      </c>
      <c r="M178" s="51">
        <v>110</v>
      </c>
      <c r="N178" s="50">
        <v>9.18</v>
      </c>
      <c r="O178" s="50">
        <v>7.24</v>
      </c>
      <c r="P178" s="82">
        <v>255.31</v>
      </c>
      <c r="Q178" s="39">
        <v>60311005</v>
      </c>
      <c r="R178" s="46" t="s">
        <v>1111</v>
      </c>
      <c r="S178" s="46" t="s">
        <v>1112</v>
      </c>
      <c r="T178" s="46" t="s">
        <v>1113</v>
      </c>
      <c r="U178" t="str">
        <f>IFERROR(+VLOOKUP(H178,'DISPOSITIVOS ACTIVOS'!B:D,3,FALSE),"IPHONE")</f>
        <v>Iphone</v>
      </c>
      <c r="V178" t="str">
        <f>IFERROR(+VLOOKUP(H178,'[1]Migracion feb25 Ver to ATT'!$B:$G,6,FALSE), "NO MIGRADO")</f>
        <v>NO MIGRADO</v>
      </c>
      <c r="W178" s="26">
        <v>25</v>
      </c>
    </row>
    <row r="179" spans="1:23" x14ac:dyDescent="0.3">
      <c r="A179" t="s">
        <v>1140</v>
      </c>
      <c r="B179" s="46" t="s">
        <v>22</v>
      </c>
      <c r="C179" s="46" t="s">
        <v>1141</v>
      </c>
      <c r="D179" s="46">
        <v>7</v>
      </c>
      <c r="E179" s="46">
        <v>2025</v>
      </c>
      <c r="F179" s="46">
        <v>10</v>
      </c>
      <c r="G179" s="47" t="s">
        <v>36</v>
      </c>
      <c r="H179" s="36" t="s">
        <v>137</v>
      </c>
      <c r="I179" s="47" t="s">
        <v>384</v>
      </c>
      <c r="J179" s="47">
        <v>109.33</v>
      </c>
      <c r="K179" s="48">
        <v>25</v>
      </c>
      <c r="L179" s="47">
        <v>38.89</v>
      </c>
      <c r="M179" s="48">
        <v>110</v>
      </c>
      <c r="N179" s="48">
        <v>10.08</v>
      </c>
      <c r="O179" s="47">
        <v>7.81</v>
      </c>
      <c r="P179" s="83">
        <v>301.11</v>
      </c>
      <c r="Q179" s="39">
        <v>60311005</v>
      </c>
      <c r="R179" s="46" t="s">
        <v>284</v>
      </c>
      <c r="S179" s="46" t="s">
        <v>1120</v>
      </c>
      <c r="T179" s="46" t="s">
        <v>1121</v>
      </c>
      <c r="U179" t="str">
        <f>IFERROR(+VLOOKUP(H179,'DISPOSITIVOS ACTIVOS'!B:D,3,FALSE),"IPHONE")</f>
        <v>Iphone</v>
      </c>
      <c r="V179" t="str">
        <f>IFERROR(+VLOOKUP(H179,'[1]Migracion feb25 Ver to ATT'!$B:$G,6,FALSE), "NO MIGRADO")</f>
        <v>NO MIGRADO</v>
      </c>
      <c r="W179" s="26">
        <v>25</v>
      </c>
    </row>
    <row r="180" spans="1:23" x14ac:dyDescent="0.3">
      <c r="A180" t="s">
        <v>1140</v>
      </c>
      <c r="B180" s="46" t="s">
        <v>22</v>
      </c>
      <c r="C180" s="46" t="s">
        <v>1141</v>
      </c>
      <c r="D180" s="46">
        <v>7</v>
      </c>
      <c r="E180" s="46">
        <v>2025</v>
      </c>
      <c r="F180" s="46">
        <v>10</v>
      </c>
      <c r="G180" s="98" t="s">
        <v>48</v>
      </c>
      <c r="H180" s="37" t="s">
        <v>47</v>
      </c>
      <c r="I180" s="50" t="s">
        <v>387</v>
      </c>
      <c r="J180" s="50" t="s">
        <v>30</v>
      </c>
      <c r="K180" s="51">
        <v>10</v>
      </c>
      <c r="L180" s="50" t="s">
        <v>30</v>
      </c>
      <c r="M180" s="51" t="s">
        <v>30</v>
      </c>
      <c r="N180" s="50" t="s">
        <v>30</v>
      </c>
      <c r="O180" s="50" t="s">
        <v>30</v>
      </c>
      <c r="P180" s="82">
        <v>10</v>
      </c>
      <c r="Q180" s="39">
        <v>10145005</v>
      </c>
      <c r="R180" s="46"/>
      <c r="S180" s="46"/>
      <c r="T180" s="46"/>
      <c r="U180" t="str">
        <f>IFERROR(+VLOOKUP(H180,'DISPOSITIVOS ACTIVOS'!B:D,3,FALSE),"IPHONE")</f>
        <v>IPHONE</v>
      </c>
      <c r="V180" t="str">
        <f>IFERROR(+VLOOKUP(H180,'[1]Migracion feb25 Ver to ATT'!$B:$G,6,FALSE), "NO MIGRADO")</f>
        <v>NO MIGRADO</v>
      </c>
      <c r="W180" s="26">
        <v>25</v>
      </c>
    </row>
    <row r="181" spans="1:23" x14ac:dyDescent="0.3">
      <c r="A181" t="s">
        <v>1140</v>
      </c>
      <c r="B181" s="46" t="s">
        <v>22</v>
      </c>
      <c r="C181" s="46" t="s">
        <v>1141</v>
      </c>
      <c r="D181" s="46">
        <v>7</v>
      </c>
      <c r="E181" s="46">
        <v>2025</v>
      </c>
      <c r="F181" s="46">
        <v>10</v>
      </c>
      <c r="G181" s="47" t="s">
        <v>139</v>
      </c>
      <c r="H181" s="36" t="s">
        <v>138</v>
      </c>
      <c r="I181" s="47" t="s">
        <v>388</v>
      </c>
      <c r="J181" s="47" t="s">
        <v>30</v>
      </c>
      <c r="K181" s="48">
        <v>15</v>
      </c>
      <c r="L181" s="47" t="s">
        <v>30</v>
      </c>
      <c r="M181" s="48" t="s">
        <v>30</v>
      </c>
      <c r="N181" s="48">
        <v>3.75</v>
      </c>
      <c r="O181" s="47" t="s">
        <v>30</v>
      </c>
      <c r="P181" s="83">
        <v>18.75</v>
      </c>
      <c r="Q181" s="39">
        <v>60311003</v>
      </c>
      <c r="R181" s="46" t="s">
        <v>1065</v>
      </c>
      <c r="S181" s="46" t="s">
        <v>1066</v>
      </c>
      <c r="T181" s="46" t="s">
        <v>1084</v>
      </c>
      <c r="U181" t="str">
        <f>IFERROR(+VLOOKUP(H181,'DISPOSITIVOS ACTIVOS'!B:D,3,FALSE),"IPHONE")</f>
        <v>Ipad</v>
      </c>
      <c r="V181" t="str">
        <f>IFERROR(+VLOOKUP(H181,'[1]Migracion feb25 Ver to ATT'!$B:$G,6,FALSE), "NO MIGRADO")</f>
        <v>NO MIGRADO</v>
      </c>
      <c r="W181" s="26">
        <v>15</v>
      </c>
    </row>
    <row r="182" spans="1:23" x14ac:dyDescent="0.3">
      <c r="A182" t="s">
        <v>1140</v>
      </c>
      <c r="B182" s="46" t="s">
        <v>22</v>
      </c>
      <c r="C182" s="46" t="s">
        <v>1141</v>
      </c>
      <c r="D182" s="46">
        <v>7</v>
      </c>
      <c r="E182" s="46">
        <v>2025</v>
      </c>
      <c r="F182" s="46">
        <v>10</v>
      </c>
      <c r="G182" s="50" t="s">
        <v>141</v>
      </c>
      <c r="H182" s="37" t="s">
        <v>140</v>
      </c>
      <c r="I182" s="50" t="s">
        <v>389</v>
      </c>
      <c r="J182" s="50" t="s">
        <v>30</v>
      </c>
      <c r="K182" s="51">
        <v>15</v>
      </c>
      <c r="L182" s="50" t="s">
        <v>30</v>
      </c>
      <c r="M182" s="51" t="s">
        <v>30</v>
      </c>
      <c r="N182" s="50">
        <v>3.75</v>
      </c>
      <c r="O182" s="50" t="s">
        <v>30</v>
      </c>
      <c r="P182" s="82">
        <v>18.75</v>
      </c>
      <c r="Q182" s="39">
        <v>60311003</v>
      </c>
      <c r="R182" s="46" t="s">
        <v>1065</v>
      </c>
      <c r="S182" s="46" t="s">
        <v>1066</v>
      </c>
      <c r="T182" s="46" t="s">
        <v>1071</v>
      </c>
      <c r="U182" t="str">
        <f>IFERROR(+VLOOKUP(H182,'DISPOSITIVOS ACTIVOS'!B:D,3,FALSE),"IPHONE")</f>
        <v>Ipad</v>
      </c>
      <c r="V182" t="str">
        <f>IFERROR(+VLOOKUP(H182,'[1]Migracion feb25 Ver to ATT'!$B:$G,6,FALSE), "NO MIGRADO")</f>
        <v>NO MIGRADO</v>
      </c>
      <c r="W182" s="26">
        <v>15</v>
      </c>
    </row>
    <row r="183" spans="1:23" x14ac:dyDescent="0.3">
      <c r="A183" t="s">
        <v>1140</v>
      </c>
      <c r="B183" s="46" t="s">
        <v>22</v>
      </c>
      <c r="C183" s="46" t="s">
        <v>1141</v>
      </c>
      <c r="D183" s="46">
        <v>7</v>
      </c>
      <c r="E183" s="46">
        <v>2025</v>
      </c>
      <c r="F183" s="46">
        <v>10</v>
      </c>
      <c r="G183" s="47" t="s">
        <v>1153</v>
      </c>
      <c r="H183" s="36" t="s">
        <v>142</v>
      </c>
      <c r="I183" s="47" t="s">
        <v>393</v>
      </c>
      <c r="J183" s="47" t="s">
        <v>30</v>
      </c>
      <c r="K183" s="48">
        <v>15</v>
      </c>
      <c r="L183" s="47" t="s">
        <v>30</v>
      </c>
      <c r="M183" s="48" t="s">
        <v>30</v>
      </c>
      <c r="N183" s="48">
        <v>3.75</v>
      </c>
      <c r="O183" s="47" t="s">
        <v>30</v>
      </c>
      <c r="P183" s="83">
        <v>18.75</v>
      </c>
      <c r="Q183" s="39">
        <v>60311003</v>
      </c>
      <c r="R183" s="46" t="s">
        <v>1065</v>
      </c>
      <c r="S183" s="46" t="s">
        <v>1066</v>
      </c>
      <c r="T183" s="46" t="s">
        <v>1071</v>
      </c>
      <c r="U183" t="str">
        <f>IFERROR(+VLOOKUP(H183,'DISPOSITIVOS ACTIVOS'!B:D,3,FALSE),"IPHONE")</f>
        <v>Ipad</v>
      </c>
      <c r="V183" t="str">
        <f>IFERROR(+VLOOKUP(H183,'[1]Migracion feb25 Ver to ATT'!$B:$G,6,FALSE), "NO MIGRADO")</f>
        <v>NO MIGRADO</v>
      </c>
      <c r="W183" s="26">
        <v>15</v>
      </c>
    </row>
    <row r="184" spans="1:23" x14ac:dyDescent="0.3">
      <c r="A184" t="s">
        <v>1140</v>
      </c>
      <c r="B184" s="46" t="s">
        <v>22</v>
      </c>
      <c r="C184" s="46" t="s">
        <v>1141</v>
      </c>
      <c r="D184" s="46">
        <v>7</v>
      </c>
      <c r="E184" s="46">
        <v>2025</v>
      </c>
      <c r="F184" s="46">
        <v>10</v>
      </c>
      <c r="G184" s="50" t="s">
        <v>145</v>
      </c>
      <c r="H184" s="37" t="s">
        <v>144</v>
      </c>
      <c r="I184" s="50" t="s">
        <v>397</v>
      </c>
      <c r="J184" s="50" t="s">
        <v>30</v>
      </c>
      <c r="K184" s="51">
        <v>25</v>
      </c>
      <c r="L184" s="50">
        <v>10.99</v>
      </c>
      <c r="M184" s="51" t="s">
        <v>30</v>
      </c>
      <c r="N184" s="50">
        <v>4.53</v>
      </c>
      <c r="O184" s="50">
        <v>4.3099999999999996</v>
      </c>
      <c r="P184" s="82">
        <v>44.83</v>
      </c>
      <c r="Q184" s="39">
        <v>60311005</v>
      </c>
      <c r="R184" s="46" t="s">
        <v>1065</v>
      </c>
      <c r="S184" s="46" t="s">
        <v>1066</v>
      </c>
      <c r="T184" s="46" t="s">
        <v>1067</v>
      </c>
      <c r="U184" t="str">
        <f>IFERROR(+VLOOKUP(H184,'DISPOSITIVOS ACTIVOS'!B:D,3,FALSE),"IPHONE")</f>
        <v>Iphone</v>
      </c>
      <c r="V184" t="str">
        <f>IFERROR(+VLOOKUP(H184,'[1]Migracion feb25 Ver to ATT'!$B:$G,6,FALSE), "NO MIGRADO")</f>
        <v>NO MIGRADO</v>
      </c>
      <c r="W184" s="26">
        <v>25</v>
      </c>
    </row>
    <row r="185" spans="1:23" x14ac:dyDescent="0.3">
      <c r="A185" t="s">
        <v>1140</v>
      </c>
      <c r="B185" s="46" t="s">
        <v>22</v>
      </c>
      <c r="C185" s="46" t="s">
        <v>1141</v>
      </c>
      <c r="D185" s="46">
        <v>7</v>
      </c>
      <c r="E185" s="46">
        <v>2025</v>
      </c>
      <c r="F185" s="46">
        <v>10</v>
      </c>
      <c r="G185" s="47" t="s">
        <v>96</v>
      </c>
      <c r="H185" s="36" t="s">
        <v>146</v>
      </c>
      <c r="I185" s="47" t="s">
        <v>398</v>
      </c>
      <c r="J185" s="47" t="s">
        <v>30</v>
      </c>
      <c r="K185" s="48">
        <v>50</v>
      </c>
      <c r="L185" s="47" t="s">
        <v>30</v>
      </c>
      <c r="M185" s="48" t="s">
        <v>30</v>
      </c>
      <c r="N185" s="48">
        <v>4.8600000000000003</v>
      </c>
      <c r="O185" s="47">
        <v>2.48</v>
      </c>
      <c r="P185" s="83">
        <v>57.34</v>
      </c>
      <c r="Q185" s="39">
        <v>10145005</v>
      </c>
      <c r="R185" s="46"/>
      <c r="S185" s="46"/>
      <c r="T185" s="46"/>
      <c r="U185" t="str">
        <f>IFERROR(+VLOOKUP(H185,'DISPOSITIVOS ACTIVOS'!B:D,3,FALSE),"IPHONE")</f>
        <v>Iphone</v>
      </c>
      <c r="V185" t="str">
        <f>IFERROR(+VLOOKUP(H185,'[1]Migracion feb25 Ver to ATT'!$B:$G,6,FALSE), "NO MIGRADO")</f>
        <v>Iphone</v>
      </c>
      <c r="W185" s="26">
        <v>15</v>
      </c>
    </row>
    <row r="186" spans="1:23" x14ac:dyDescent="0.3">
      <c r="A186" t="s">
        <v>1140</v>
      </c>
      <c r="B186" s="46" t="s">
        <v>22</v>
      </c>
      <c r="C186" s="46" t="s">
        <v>1141</v>
      </c>
      <c r="D186" s="46">
        <v>7</v>
      </c>
      <c r="E186" s="46">
        <v>2025</v>
      </c>
      <c r="F186" s="46">
        <v>10</v>
      </c>
      <c r="G186" s="50" t="s">
        <v>148</v>
      </c>
      <c r="H186" s="37" t="s">
        <v>147</v>
      </c>
      <c r="I186" s="50" t="s">
        <v>402</v>
      </c>
      <c r="J186" s="50" t="s">
        <v>30</v>
      </c>
      <c r="K186" s="51">
        <v>50</v>
      </c>
      <c r="L186" s="50" t="s">
        <v>30</v>
      </c>
      <c r="M186" s="51" t="s">
        <v>30</v>
      </c>
      <c r="N186" s="50">
        <v>4.8600000000000003</v>
      </c>
      <c r="O186" s="50">
        <v>2.48</v>
      </c>
      <c r="P186" s="82">
        <v>57.34</v>
      </c>
      <c r="Q186" s="39">
        <v>60311005</v>
      </c>
      <c r="R186" s="46" t="s">
        <v>1065</v>
      </c>
      <c r="S186" s="46" t="s">
        <v>1066</v>
      </c>
      <c r="T186" s="46" t="s">
        <v>1085</v>
      </c>
      <c r="U186" t="str">
        <f>IFERROR(+VLOOKUP(H186,'DISPOSITIVOS ACTIVOS'!B:D,3,FALSE),"IPHONE")</f>
        <v>Iphone</v>
      </c>
      <c r="V186" t="str">
        <f>IFERROR(+VLOOKUP(H186,'[1]Migracion feb25 Ver to ATT'!$B:$G,6,FALSE), "NO MIGRADO")</f>
        <v>Iphone</v>
      </c>
      <c r="W186" s="26">
        <v>15</v>
      </c>
    </row>
    <row r="187" spans="1:23" x14ac:dyDescent="0.3">
      <c r="A187" t="s">
        <v>1140</v>
      </c>
      <c r="B187" s="46" t="s">
        <v>22</v>
      </c>
      <c r="C187" s="46" t="s">
        <v>1141</v>
      </c>
      <c r="D187" s="46">
        <v>7</v>
      </c>
      <c r="E187" s="46">
        <v>2025</v>
      </c>
      <c r="F187" s="46">
        <v>10</v>
      </c>
      <c r="G187" s="47" t="s">
        <v>150</v>
      </c>
      <c r="H187" s="36" t="s">
        <v>149</v>
      </c>
      <c r="I187" s="47" t="s">
        <v>404</v>
      </c>
      <c r="J187" s="47" t="s">
        <v>30</v>
      </c>
      <c r="K187" s="48">
        <v>50</v>
      </c>
      <c r="L187" s="47" t="s">
        <v>30</v>
      </c>
      <c r="M187" s="48" t="s">
        <v>30</v>
      </c>
      <c r="N187" s="48">
        <v>4.8600000000000003</v>
      </c>
      <c r="O187" s="47">
        <v>2.48</v>
      </c>
      <c r="P187" s="83">
        <v>57.34</v>
      </c>
      <c r="Q187" s="39">
        <v>60311005</v>
      </c>
      <c r="R187" s="46" t="s">
        <v>1065</v>
      </c>
      <c r="S187" s="46" t="s">
        <v>1066</v>
      </c>
      <c r="T187" s="46" t="s">
        <v>1084</v>
      </c>
      <c r="U187" t="str">
        <f>IFERROR(+VLOOKUP(H187,'DISPOSITIVOS ACTIVOS'!B:D,3,FALSE),"IPHONE")</f>
        <v>Iphone</v>
      </c>
      <c r="V187" t="str">
        <f>IFERROR(+VLOOKUP(H187,'[1]Migracion feb25 Ver to ATT'!$B:$G,6,FALSE), "NO MIGRADO")</f>
        <v>Iphone</v>
      </c>
      <c r="W187" s="26">
        <v>15</v>
      </c>
    </row>
    <row r="188" spans="1:23" x14ac:dyDescent="0.3">
      <c r="A188" t="s">
        <v>1140</v>
      </c>
      <c r="B188" s="46" t="s">
        <v>22</v>
      </c>
      <c r="C188" s="46" t="s">
        <v>1141</v>
      </c>
      <c r="D188" s="46">
        <v>7</v>
      </c>
      <c r="E188" s="46">
        <v>2025</v>
      </c>
      <c r="F188" s="46">
        <v>10</v>
      </c>
      <c r="G188" s="50" t="s">
        <v>152</v>
      </c>
      <c r="H188" s="37" t="s">
        <v>151</v>
      </c>
      <c r="I188" s="50" t="s">
        <v>405</v>
      </c>
      <c r="J188" s="50" t="s">
        <v>30</v>
      </c>
      <c r="K188" s="51">
        <v>50</v>
      </c>
      <c r="L188" s="50" t="s">
        <v>30</v>
      </c>
      <c r="M188" s="51" t="s">
        <v>30</v>
      </c>
      <c r="N188" s="50">
        <v>4.8600000000000003</v>
      </c>
      <c r="O188" s="50">
        <v>2.48</v>
      </c>
      <c r="P188" s="82">
        <v>57.34</v>
      </c>
      <c r="Q188" s="39">
        <v>60311005</v>
      </c>
      <c r="R188" s="46" t="s">
        <v>1065</v>
      </c>
      <c r="S188" s="46" t="s">
        <v>1066</v>
      </c>
      <c r="T188" s="46" t="s">
        <v>1122</v>
      </c>
      <c r="U188">
        <f>IFERROR(+VLOOKUP(H188,'DISPOSITIVOS ACTIVOS'!B:D,3,FALSE),"IPHONE")</f>
        <v>0</v>
      </c>
      <c r="V188" t="str">
        <f>IFERROR(+VLOOKUP(H188,'[1]Migracion feb25 Ver to ATT'!$B:$G,6,FALSE), "NO MIGRADO")</f>
        <v>Iphone</v>
      </c>
      <c r="W188" s="26">
        <v>15</v>
      </c>
    </row>
    <row r="189" spans="1:23" x14ac:dyDescent="0.3">
      <c r="A189" t="s">
        <v>1140</v>
      </c>
      <c r="B189" s="46" t="s">
        <v>22</v>
      </c>
      <c r="C189" s="46" t="s">
        <v>1141</v>
      </c>
      <c r="D189" s="46">
        <v>7</v>
      </c>
      <c r="E189" s="46">
        <v>2025</v>
      </c>
      <c r="F189" s="46">
        <v>10</v>
      </c>
      <c r="G189" s="47" t="s">
        <v>154</v>
      </c>
      <c r="H189" s="36" t="s">
        <v>153</v>
      </c>
      <c r="I189" s="47" t="s">
        <v>406</v>
      </c>
      <c r="J189" s="47">
        <v>99</v>
      </c>
      <c r="K189" s="48">
        <v>25</v>
      </c>
      <c r="L189" s="47" t="s">
        <v>30</v>
      </c>
      <c r="M189" s="48" t="s">
        <v>30</v>
      </c>
      <c r="N189" s="48">
        <v>40.17</v>
      </c>
      <c r="O189" s="47">
        <v>11.74</v>
      </c>
      <c r="P189" s="83">
        <v>175.91</v>
      </c>
      <c r="Q189" s="39">
        <v>60311005</v>
      </c>
      <c r="R189" s="46" t="s">
        <v>1126</v>
      </c>
      <c r="S189" s="46" t="s">
        <v>1127</v>
      </c>
      <c r="T189" s="46" t="s">
        <v>1128</v>
      </c>
      <c r="U189" t="str">
        <f>IFERROR(+VLOOKUP(H189,'DISPOSITIVOS ACTIVOS'!B:D,3,FALSE),"IPHONE")</f>
        <v>Iphone</v>
      </c>
      <c r="V189" t="str">
        <f>IFERROR(+VLOOKUP(H189,'[1]Migracion feb25 Ver to ATT'!$B:$G,6,FALSE), "NO MIGRADO")</f>
        <v>NO MIGRADO</v>
      </c>
      <c r="W189" s="26">
        <v>25</v>
      </c>
    </row>
    <row r="190" spans="1:23" x14ac:dyDescent="0.3">
      <c r="A190" t="s">
        <v>1140</v>
      </c>
      <c r="B190" s="46" t="s">
        <v>22</v>
      </c>
      <c r="C190" s="46" t="s">
        <v>1141</v>
      </c>
      <c r="D190" s="46">
        <v>7</v>
      </c>
      <c r="E190" s="46">
        <v>2025</v>
      </c>
      <c r="F190" s="46">
        <v>10</v>
      </c>
      <c r="G190" s="50" t="s">
        <v>156</v>
      </c>
      <c r="H190" s="37" t="s">
        <v>155</v>
      </c>
      <c r="I190" s="50" t="s">
        <v>407</v>
      </c>
      <c r="J190" s="50" t="s">
        <v>30</v>
      </c>
      <c r="K190" s="51">
        <v>25</v>
      </c>
      <c r="L190" s="50">
        <v>25</v>
      </c>
      <c r="M190" s="51" t="s">
        <v>30</v>
      </c>
      <c r="N190" s="50">
        <v>4.53</v>
      </c>
      <c r="O190" s="50">
        <v>4.3099999999999996</v>
      </c>
      <c r="P190" s="82">
        <v>58.84</v>
      </c>
      <c r="Q190" s="39">
        <v>60311005</v>
      </c>
      <c r="R190" s="46" t="s">
        <v>1079</v>
      </c>
      <c r="S190" s="46" t="s">
        <v>1129</v>
      </c>
      <c r="T190" s="46" t="s">
        <v>1130</v>
      </c>
      <c r="U190" t="str">
        <f>IFERROR(+VLOOKUP(H190,'DISPOSITIVOS ACTIVOS'!B:D,3,FALSE),"IPHONE")</f>
        <v>Iphone</v>
      </c>
      <c r="V190" t="str">
        <f>IFERROR(+VLOOKUP(H190,'[1]Migracion feb25 Ver to ATT'!$B:$G,6,FALSE), "NO MIGRADO")</f>
        <v>NO MIGRADO</v>
      </c>
      <c r="W190" s="26">
        <v>25</v>
      </c>
    </row>
    <row r="191" spans="1:23" x14ac:dyDescent="0.3">
      <c r="A191" t="s">
        <v>1140</v>
      </c>
      <c r="B191" s="46" t="s">
        <v>22</v>
      </c>
      <c r="C191" s="46" t="s">
        <v>1141</v>
      </c>
      <c r="D191" s="46">
        <v>7</v>
      </c>
      <c r="E191" s="46">
        <v>2025</v>
      </c>
      <c r="F191" s="46">
        <v>10</v>
      </c>
      <c r="G191" s="47" t="s">
        <v>1154</v>
      </c>
      <c r="H191" s="36" t="s">
        <v>157</v>
      </c>
      <c r="I191" s="47" t="s">
        <v>408</v>
      </c>
      <c r="J191" s="47" t="s">
        <v>30</v>
      </c>
      <c r="K191" s="48">
        <v>25</v>
      </c>
      <c r="L191" s="47" t="s">
        <v>30</v>
      </c>
      <c r="M191" s="48" t="s">
        <v>30</v>
      </c>
      <c r="N191" s="48">
        <v>4.53</v>
      </c>
      <c r="O191" s="47">
        <v>4.3099999999999996</v>
      </c>
      <c r="P191" s="83">
        <v>33.840000000000003</v>
      </c>
      <c r="Q191" s="39">
        <v>60311005</v>
      </c>
      <c r="R191" s="46" t="s">
        <v>1114</v>
      </c>
      <c r="S191" s="46" t="s">
        <v>1115</v>
      </c>
      <c r="T191" s="46" t="s">
        <v>1116</v>
      </c>
      <c r="U191" t="str">
        <f>IFERROR(+VLOOKUP(H191,'DISPOSITIVOS ACTIVOS'!B:D,3,FALSE),"IPHONE")</f>
        <v>Iphone</v>
      </c>
      <c r="V191" t="str">
        <f>IFERROR(+VLOOKUP(H191,'[1]Migracion feb25 Ver to ATT'!$B:$G,6,FALSE), "NO MIGRADO")</f>
        <v>NO MIGRADO</v>
      </c>
      <c r="W191" s="26">
        <v>25</v>
      </c>
    </row>
    <row r="192" spans="1:23" x14ac:dyDescent="0.3">
      <c r="A192" t="s">
        <v>1140</v>
      </c>
      <c r="B192" s="46" t="s">
        <v>22</v>
      </c>
      <c r="C192" s="46" t="s">
        <v>1141</v>
      </c>
      <c r="D192" s="46">
        <v>7</v>
      </c>
      <c r="E192" s="46">
        <v>2025</v>
      </c>
      <c r="F192" s="46">
        <v>10</v>
      </c>
      <c r="G192" s="50" t="s">
        <v>160</v>
      </c>
      <c r="H192" s="37" t="s">
        <v>159</v>
      </c>
      <c r="I192" s="50" t="s">
        <v>411</v>
      </c>
      <c r="J192" s="50">
        <v>89.88</v>
      </c>
      <c r="K192" s="51">
        <v>25</v>
      </c>
      <c r="L192" s="50">
        <v>33.340000000000003</v>
      </c>
      <c r="M192" s="51">
        <v>110</v>
      </c>
      <c r="N192" s="50">
        <v>10.08</v>
      </c>
      <c r="O192" s="50">
        <v>7.81</v>
      </c>
      <c r="P192" s="82">
        <v>276.11</v>
      </c>
      <c r="Q192" s="39">
        <v>60311005</v>
      </c>
      <c r="R192" s="46">
        <v>11</v>
      </c>
      <c r="S192" s="46">
        <v>1100</v>
      </c>
      <c r="T192" s="46">
        <v>110001</v>
      </c>
      <c r="U192" t="str">
        <f>IFERROR(+VLOOKUP(H192,'DISPOSITIVOS ACTIVOS'!B:D,3,FALSE),"IPHONE")</f>
        <v>Iphone</v>
      </c>
      <c r="V192" t="str">
        <f>IFERROR(+VLOOKUP(H192,'[1]Migracion feb25 Ver to ATT'!$B:$G,6,FALSE), "NO MIGRADO")</f>
        <v>NO MIGRADO</v>
      </c>
      <c r="W192" s="26">
        <v>25</v>
      </c>
    </row>
    <row r="193" spans="1:23" x14ac:dyDescent="0.3">
      <c r="A193" t="s">
        <v>1140</v>
      </c>
      <c r="B193" s="46" t="s">
        <v>22</v>
      </c>
      <c r="C193" s="46" t="s">
        <v>1141</v>
      </c>
      <c r="D193" s="46">
        <v>7</v>
      </c>
      <c r="E193" s="46">
        <v>2025</v>
      </c>
      <c r="F193" s="46">
        <v>10</v>
      </c>
      <c r="G193" s="47" t="s">
        <v>162</v>
      </c>
      <c r="H193" s="36" t="s">
        <v>161</v>
      </c>
      <c r="I193" s="47" t="s">
        <v>419</v>
      </c>
      <c r="J193" s="47" t="s">
        <v>30</v>
      </c>
      <c r="K193" s="48">
        <v>25</v>
      </c>
      <c r="L193" s="47">
        <v>5</v>
      </c>
      <c r="M193" s="48" t="s">
        <v>30</v>
      </c>
      <c r="N193" s="48">
        <v>4.53</v>
      </c>
      <c r="O193" s="47">
        <v>4.3099999999999996</v>
      </c>
      <c r="P193" s="83">
        <v>38.840000000000003</v>
      </c>
      <c r="Q193" s="39">
        <v>60311005</v>
      </c>
      <c r="R193" s="46" t="s">
        <v>1065</v>
      </c>
      <c r="S193" s="46" t="s">
        <v>1066</v>
      </c>
      <c r="T193" s="46" t="s">
        <v>1067</v>
      </c>
      <c r="U193" t="str">
        <f>IFERROR(+VLOOKUP(H193,'DISPOSITIVOS ACTIVOS'!B:D,3,FALSE),"IPHONE")</f>
        <v>Iphone</v>
      </c>
      <c r="V193" t="str">
        <f>IFERROR(+VLOOKUP(H193,'[1]Migracion feb25 Ver to ATT'!$B:$G,6,FALSE), "NO MIGRADO")</f>
        <v>NO MIGRADO</v>
      </c>
      <c r="W193" s="26">
        <v>25</v>
      </c>
    </row>
    <row r="194" spans="1:23" x14ac:dyDescent="0.3">
      <c r="A194" t="s">
        <v>1140</v>
      </c>
      <c r="B194" s="46" t="s">
        <v>22</v>
      </c>
      <c r="C194" s="46" t="s">
        <v>1141</v>
      </c>
      <c r="D194" s="46">
        <v>7</v>
      </c>
      <c r="E194" s="46">
        <v>2025</v>
      </c>
      <c r="F194" s="46">
        <v>10</v>
      </c>
      <c r="G194" s="50" t="s">
        <v>1155</v>
      </c>
      <c r="H194" s="37" t="s">
        <v>163</v>
      </c>
      <c r="I194" s="50" t="s">
        <v>423</v>
      </c>
      <c r="J194" s="50" t="s">
        <v>30</v>
      </c>
      <c r="K194" s="51">
        <v>15</v>
      </c>
      <c r="L194" s="50" t="s">
        <v>30</v>
      </c>
      <c r="M194" s="51" t="s">
        <v>30</v>
      </c>
      <c r="N194" s="50">
        <v>3.75</v>
      </c>
      <c r="O194" s="50" t="s">
        <v>30</v>
      </c>
      <c r="P194" s="82">
        <v>18.75</v>
      </c>
      <c r="Q194" s="39">
        <v>60311003</v>
      </c>
      <c r="R194" s="46" t="s">
        <v>1065</v>
      </c>
      <c r="S194" s="46" t="s">
        <v>1066</v>
      </c>
      <c r="T194" s="46" t="s">
        <v>1084</v>
      </c>
      <c r="U194" t="str">
        <f>IFERROR(+VLOOKUP(H194,'DISPOSITIVOS ACTIVOS'!B:D,3,FALSE),"IPHONE")</f>
        <v>Ipad</v>
      </c>
      <c r="V194" t="str">
        <f>IFERROR(+VLOOKUP(H194,'[1]Migracion feb25 Ver to ATT'!$B:$G,6,FALSE), "NO MIGRADO")</f>
        <v>NO MIGRADO</v>
      </c>
      <c r="W194" s="26">
        <v>15</v>
      </c>
    </row>
    <row r="195" spans="1:23" x14ac:dyDescent="0.3">
      <c r="A195" t="s">
        <v>1140</v>
      </c>
      <c r="B195" s="46" t="s">
        <v>22</v>
      </c>
      <c r="C195" s="46" t="s">
        <v>1141</v>
      </c>
      <c r="D195" s="46">
        <v>7</v>
      </c>
      <c r="E195" s="46">
        <v>2025</v>
      </c>
      <c r="F195" s="46">
        <v>10</v>
      </c>
      <c r="G195" s="99" t="s">
        <v>1156</v>
      </c>
      <c r="H195" s="36" t="s">
        <v>1157</v>
      </c>
      <c r="I195" s="47" t="s">
        <v>425</v>
      </c>
      <c r="J195" s="47">
        <v>11.5</v>
      </c>
      <c r="K195" s="48">
        <v>15</v>
      </c>
      <c r="L195" s="47" t="s">
        <v>30</v>
      </c>
      <c r="M195" s="48" t="s">
        <v>30</v>
      </c>
      <c r="N195" s="48">
        <v>3.75</v>
      </c>
      <c r="O195" s="47" t="s">
        <v>30</v>
      </c>
      <c r="P195" s="83">
        <v>30.25</v>
      </c>
      <c r="Q195" s="39">
        <v>60311005</v>
      </c>
      <c r="R195" s="46" t="s">
        <v>1065</v>
      </c>
      <c r="S195" s="46" t="s">
        <v>1066</v>
      </c>
      <c r="T195" s="46" t="s">
        <v>1067</v>
      </c>
      <c r="U195" t="str">
        <f>IFERROR(+VLOOKUP(H195,'DISPOSITIVOS ACTIVOS'!B:D,3,FALSE),"IPHONE")</f>
        <v>IPHONE</v>
      </c>
      <c r="V195" t="str">
        <f>IFERROR(+VLOOKUP(H195,'[1]Migracion feb25 Ver to ATT'!$B:$G,6,FALSE), "NO MIGRADO")</f>
        <v>NO MIGRADO</v>
      </c>
      <c r="W195" s="26">
        <v>25</v>
      </c>
    </row>
    <row r="196" spans="1:23" x14ac:dyDescent="0.3">
      <c r="A196" t="s">
        <v>1140</v>
      </c>
      <c r="B196" s="46" t="s">
        <v>22</v>
      </c>
      <c r="C196" s="46" t="s">
        <v>1141</v>
      </c>
      <c r="D196" s="46">
        <v>7</v>
      </c>
      <c r="E196" s="46">
        <v>2025</v>
      </c>
      <c r="F196" s="46">
        <v>10</v>
      </c>
      <c r="G196" s="50" t="s">
        <v>166</v>
      </c>
      <c r="H196" s="37" t="s">
        <v>165</v>
      </c>
      <c r="I196" s="50" t="s">
        <v>426</v>
      </c>
      <c r="J196" s="50" t="s">
        <v>30</v>
      </c>
      <c r="K196" s="51">
        <v>50</v>
      </c>
      <c r="L196" s="50" t="s">
        <v>30</v>
      </c>
      <c r="M196" s="51" t="s">
        <v>30</v>
      </c>
      <c r="N196" s="50">
        <v>4.8600000000000003</v>
      </c>
      <c r="O196" s="50">
        <v>2.48</v>
      </c>
      <c r="P196" s="82">
        <v>57.34</v>
      </c>
      <c r="Q196" s="39">
        <v>60311005</v>
      </c>
      <c r="R196" s="46" t="s">
        <v>1079</v>
      </c>
      <c r="S196" s="46" t="s">
        <v>1080</v>
      </c>
      <c r="T196" s="46" t="s">
        <v>1104</v>
      </c>
      <c r="U196" t="str">
        <f>IFERROR(+VLOOKUP(H196,'DISPOSITIVOS ACTIVOS'!B:D,3,FALSE),"IPHONE")</f>
        <v xml:space="preserve">Galaxy </v>
      </c>
      <c r="V196" t="str">
        <f>IFERROR(+VLOOKUP(H196,'[1]Migracion feb25 Ver to ATT'!$B:$G,6,FALSE), "NO MIGRADO")</f>
        <v xml:space="preserve">Galaxy </v>
      </c>
      <c r="W196" s="26">
        <v>15</v>
      </c>
    </row>
    <row r="197" spans="1:23" x14ac:dyDescent="0.3">
      <c r="A197" t="s">
        <v>1140</v>
      </c>
      <c r="B197" s="46" t="s">
        <v>22</v>
      </c>
      <c r="C197" s="46" t="s">
        <v>1141</v>
      </c>
      <c r="D197" s="46">
        <v>7</v>
      </c>
      <c r="E197" s="46">
        <v>2025</v>
      </c>
      <c r="F197" s="46">
        <v>10</v>
      </c>
      <c r="G197" s="47" t="s">
        <v>168</v>
      </c>
      <c r="H197" s="36" t="s">
        <v>167</v>
      </c>
      <c r="I197" s="47" t="s">
        <v>427</v>
      </c>
      <c r="J197" s="47" t="s">
        <v>30</v>
      </c>
      <c r="K197" s="48">
        <v>50</v>
      </c>
      <c r="L197" s="47" t="s">
        <v>30</v>
      </c>
      <c r="M197" s="48" t="s">
        <v>30</v>
      </c>
      <c r="N197" s="48">
        <v>4.8600000000000003</v>
      </c>
      <c r="O197" s="47">
        <v>2.48</v>
      </c>
      <c r="P197" s="83">
        <v>57.34</v>
      </c>
      <c r="Q197" s="39">
        <v>60311005</v>
      </c>
      <c r="R197" s="46" t="s">
        <v>1079</v>
      </c>
      <c r="S197" s="46" t="s">
        <v>1080</v>
      </c>
      <c r="T197" s="46" t="s">
        <v>1097</v>
      </c>
      <c r="U197" t="str">
        <f>IFERROR(+VLOOKUP(H197,'DISPOSITIVOS ACTIVOS'!B:D,3,FALSE),"IPHONE")</f>
        <v xml:space="preserve">Galaxy </v>
      </c>
      <c r="V197" t="str">
        <f>IFERROR(+VLOOKUP(H197,'[1]Migracion feb25 Ver to ATT'!$B:$G,6,FALSE), "NO MIGRADO")</f>
        <v xml:space="preserve">Galaxy </v>
      </c>
      <c r="W197" s="26">
        <v>15</v>
      </c>
    </row>
    <row r="198" spans="1:23" x14ac:dyDescent="0.3">
      <c r="A198" t="s">
        <v>1140</v>
      </c>
      <c r="B198" s="46" t="s">
        <v>22</v>
      </c>
      <c r="C198" s="46" t="s">
        <v>1141</v>
      </c>
      <c r="D198" s="46">
        <v>7</v>
      </c>
      <c r="E198" s="46">
        <v>2025</v>
      </c>
      <c r="F198" s="46">
        <v>10</v>
      </c>
      <c r="G198" s="50" t="s">
        <v>170</v>
      </c>
      <c r="H198" s="37" t="s">
        <v>169</v>
      </c>
      <c r="I198" s="50" t="s">
        <v>431</v>
      </c>
      <c r="J198" s="50" t="s">
        <v>30</v>
      </c>
      <c r="K198" s="51">
        <v>50</v>
      </c>
      <c r="L198" s="50" t="s">
        <v>30</v>
      </c>
      <c r="M198" s="51" t="s">
        <v>30</v>
      </c>
      <c r="N198" s="50">
        <v>4.8600000000000003</v>
      </c>
      <c r="O198" s="50">
        <v>2.48</v>
      </c>
      <c r="P198" s="82">
        <v>57.34</v>
      </c>
      <c r="Q198" s="39">
        <v>60311005</v>
      </c>
      <c r="R198" s="46" t="s">
        <v>1065</v>
      </c>
      <c r="S198" s="46" t="s">
        <v>1066</v>
      </c>
      <c r="T198" s="46" t="s">
        <v>1067</v>
      </c>
      <c r="U198" t="str">
        <f>IFERROR(+VLOOKUP(H198,'DISPOSITIVOS ACTIVOS'!B:D,3,FALSE),"IPHONE")</f>
        <v>Iphone</v>
      </c>
      <c r="V198" t="str">
        <f>IFERROR(+VLOOKUP(H198,'[1]Migracion feb25 Ver to ATT'!$B:$G,6,FALSE), "NO MIGRADO")</f>
        <v>Iphone</v>
      </c>
      <c r="W198" s="26">
        <v>15</v>
      </c>
    </row>
    <row r="199" spans="1:23" x14ac:dyDescent="0.3">
      <c r="A199" t="s">
        <v>1140</v>
      </c>
      <c r="B199" s="46" t="s">
        <v>22</v>
      </c>
      <c r="C199" s="46" t="s">
        <v>1141</v>
      </c>
      <c r="D199" s="46">
        <v>7</v>
      </c>
      <c r="E199" s="46">
        <v>2025</v>
      </c>
      <c r="F199" s="46">
        <v>10</v>
      </c>
      <c r="G199" s="47" t="s">
        <v>172</v>
      </c>
      <c r="H199" s="36" t="s">
        <v>171</v>
      </c>
      <c r="I199" s="47" t="s">
        <v>434</v>
      </c>
      <c r="J199" s="47" t="s">
        <v>30</v>
      </c>
      <c r="K199" s="48">
        <v>25</v>
      </c>
      <c r="L199" s="47" t="s">
        <v>30</v>
      </c>
      <c r="M199" s="48" t="s">
        <v>30</v>
      </c>
      <c r="N199" s="48">
        <v>4.53</v>
      </c>
      <c r="O199" s="47">
        <v>4.3099999999999996</v>
      </c>
      <c r="P199" s="83">
        <v>33.840000000000003</v>
      </c>
      <c r="Q199" s="39">
        <v>60311005</v>
      </c>
      <c r="R199" s="46" t="s">
        <v>1065</v>
      </c>
      <c r="S199" s="46" t="s">
        <v>1066</v>
      </c>
      <c r="T199" s="46" t="s">
        <v>1084</v>
      </c>
      <c r="U199" t="str">
        <f>IFERROR(+VLOOKUP(H199,'DISPOSITIVOS ACTIVOS'!B:D,3,FALSE),"IPHONE")</f>
        <v>Iphone</v>
      </c>
      <c r="V199" t="str">
        <f>IFERROR(+VLOOKUP(H199,'[1]Migracion feb25 Ver to ATT'!$B:$G,6,FALSE), "NO MIGRADO")</f>
        <v>NO MIGRADO</v>
      </c>
      <c r="W199" s="26">
        <v>25</v>
      </c>
    </row>
    <row r="200" spans="1:23" x14ac:dyDescent="0.3">
      <c r="A200" t="s">
        <v>1140</v>
      </c>
      <c r="B200" s="46" t="s">
        <v>22</v>
      </c>
      <c r="C200" s="46" t="s">
        <v>1141</v>
      </c>
      <c r="D200" s="46">
        <v>7</v>
      </c>
      <c r="E200" s="46">
        <v>2025</v>
      </c>
      <c r="F200" s="46">
        <v>10</v>
      </c>
      <c r="G200" s="50" t="s">
        <v>1158</v>
      </c>
      <c r="H200" s="37" t="s">
        <v>417</v>
      </c>
      <c r="I200" s="50" t="s">
        <v>435</v>
      </c>
      <c r="J200" s="50" t="s">
        <v>30</v>
      </c>
      <c r="K200" s="51">
        <v>15</v>
      </c>
      <c r="L200" s="50" t="s">
        <v>30</v>
      </c>
      <c r="M200" s="51" t="s">
        <v>30</v>
      </c>
      <c r="N200" s="50">
        <v>3.75</v>
      </c>
      <c r="O200" s="50" t="s">
        <v>30</v>
      </c>
      <c r="P200" s="82">
        <v>18.75</v>
      </c>
      <c r="Q200" s="39">
        <v>60311003</v>
      </c>
      <c r="R200" s="46" t="s">
        <v>1065</v>
      </c>
      <c r="S200" s="46" t="s">
        <v>1066</v>
      </c>
      <c r="T200" s="46" t="s">
        <v>1067</v>
      </c>
      <c r="U200" t="str">
        <f>IFERROR(+VLOOKUP(H200,'DISPOSITIVOS ACTIVOS'!B:D,3,FALSE),"IPHONE")</f>
        <v>Ipad</v>
      </c>
      <c r="V200" t="str">
        <f>IFERROR(+VLOOKUP(H200,'[1]Migracion feb25 Ver to ATT'!$B:$G,6,FALSE), "NO MIGRADO")</f>
        <v>NO MIGRADO</v>
      </c>
      <c r="W200" s="26">
        <v>15</v>
      </c>
    </row>
    <row r="201" spans="1:23" x14ac:dyDescent="0.3">
      <c r="A201" t="s">
        <v>1140</v>
      </c>
      <c r="B201" s="46" t="s">
        <v>22</v>
      </c>
      <c r="C201" s="46" t="s">
        <v>1141</v>
      </c>
      <c r="D201" s="46">
        <v>7</v>
      </c>
      <c r="E201" s="46">
        <v>2025</v>
      </c>
      <c r="F201" s="46">
        <v>10</v>
      </c>
      <c r="G201" s="47" t="s">
        <v>422</v>
      </c>
      <c r="H201" s="36" t="s">
        <v>421</v>
      </c>
      <c r="I201" s="47" t="s">
        <v>436</v>
      </c>
      <c r="J201" s="47">
        <v>-1.39</v>
      </c>
      <c r="K201" s="48">
        <v>15</v>
      </c>
      <c r="L201" s="47" t="s">
        <v>30</v>
      </c>
      <c r="M201" s="48" t="s">
        <v>30</v>
      </c>
      <c r="N201" s="48">
        <v>3.75</v>
      </c>
      <c r="O201" s="47" t="s">
        <v>30</v>
      </c>
      <c r="P201" s="83">
        <v>17.36</v>
      </c>
      <c r="Q201" s="39">
        <v>10145005</v>
      </c>
      <c r="R201" s="46"/>
      <c r="S201" s="46"/>
      <c r="T201" s="46"/>
      <c r="U201">
        <f>IFERROR(+VLOOKUP(H201,'DISPOSITIVOS ACTIVOS'!B:D,3,FALSE),"IPHONE")</f>
        <v>0</v>
      </c>
      <c r="V201" t="str">
        <f>IFERROR(+VLOOKUP(H201,'[1]Migracion feb25 Ver to ATT'!$B:$G,6,FALSE), "NO MIGRADO")</f>
        <v>NO MIGRADO</v>
      </c>
      <c r="W201" s="26">
        <v>25</v>
      </c>
    </row>
    <row r="202" spans="1:23" x14ac:dyDescent="0.3">
      <c r="A202" t="s">
        <v>1140</v>
      </c>
      <c r="B202" s="46" t="s">
        <v>22</v>
      </c>
      <c r="C202" s="46" t="s">
        <v>1141</v>
      </c>
      <c r="D202" s="46">
        <v>7</v>
      </c>
      <c r="E202" s="46">
        <v>2025</v>
      </c>
      <c r="F202" s="46">
        <v>10</v>
      </c>
      <c r="G202" s="50" t="s">
        <v>1159</v>
      </c>
      <c r="H202" s="37" t="s">
        <v>173</v>
      </c>
      <c r="I202" s="50" t="s">
        <v>437</v>
      </c>
      <c r="J202" s="50" t="s">
        <v>30</v>
      </c>
      <c r="K202" s="51">
        <v>25</v>
      </c>
      <c r="L202" s="50">
        <v>5</v>
      </c>
      <c r="M202" s="51" t="s">
        <v>30</v>
      </c>
      <c r="N202" s="50">
        <v>4.53</v>
      </c>
      <c r="O202" s="50">
        <v>4.3099999999999996</v>
      </c>
      <c r="P202" s="82">
        <v>38.840000000000003</v>
      </c>
      <c r="Q202" s="39">
        <v>60311005</v>
      </c>
      <c r="R202" s="46" t="s">
        <v>1065</v>
      </c>
      <c r="S202" s="46" t="s">
        <v>1066</v>
      </c>
      <c r="T202" s="46" t="s">
        <v>1067</v>
      </c>
      <c r="U202" t="str">
        <f>IFERROR(+VLOOKUP(H202,'DISPOSITIVOS ACTIVOS'!B:D,3,FALSE),"IPHONE")</f>
        <v>Iphone</v>
      </c>
      <c r="V202" t="str">
        <f>IFERROR(+VLOOKUP(H202,'[1]Migracion feb25 Ver to ATT'!$B:$G,6,FALSE), "NO MIGRADO")</f>
        <v>NO MIGRADO</v>
      </c>
      <c r="W202" s="26">
        <v>25</v>
      </c>
    </row>
    <row r="203" spans="1:23" x14ac:dyDescent="0.3">
      <c r="A203" t="s">
        <v>1140</v>
      </c>
      <c r="B203" s="46" t="s">
        <v>22</v>
      </c>
      <c r="C203" s="46" t="s">
        <v>1141</v>
      </c>
      <c r="D203" s="46">
        <v>7</v>
      </c>
      <c r="E203" s="46">
        <v>2025</v>
      </c>
      <c r="F203" s="46">
        <v>10</v>
      </c>
      <c r="G203" s="47" t="s">
        <v>176</v>
      </c>
      <c r="H203" s="36" t="s">
        <v>175</v>
      </c>
      <c r="I203" s="47" t="s">
        <v>438</v>
      </c>
      <c r="J203" s="47" t="s">
        <v>30</v>
      </c>
      <c r="K203" s="48">
        <v>50</v>
      </c>
      <c r="L203" s="47" t="s">
        <v>30</v>
      </c>
      <c r="M203" s="48" t="s">
        <v>30</v>
      </c>
      <c r="N203" s="48">
        <v>4.8600000000000003</v>
      </c>
      <c r="O203" s="47">
        <v>2.48</v>
      </c>
      <c r="P203" s="83">
        <v>57.34</v>
      </c>
      <c r="Q203" s="39">
        <v>60311005</v>
      </c>
      <c r="R203" s="46" t="s">
        <v>1079</v>
      </c>
      <c r="S203" s="46" t="s">
        <v>1080</v>
      </c>
      <c r="T203" s="46" t="s">
        <v>1097</v>
      </c>
      <c r="U203" t="str">
        <f>IFERROR(+VLOOKUP(H203,'DISPOSITIVOS ACTIVOS'!B:D,3,FALSE),"IPHONE")</f>
        <v xml:space="preserve">Galaxy </v>
      </c>
      <c r="V203" t="str">
        <f>IFERROR(+VLOOKUP(H203,'[1]Migracion feb25 Ver to ATT'!$B:$G,6,FALSE), "NO MIGRADO")</f>
        <v xml:space="preserve">Galaxy </v>
      </c>
      <c r="W203" s="26">
        <v>15</v>
      </c>
    </row>
    <row r="204" spans="1:23" x14ac:dyDescent="0.3">
      <c r="A204" t="s">
        <v>1140</v>
      </c>
      <c r="B204" s="46" t="s">
        <v>22</v>
      </c>
      <c r="C204" s="46" t="s">
        <v>1141</v>
      </c>
      <c r="D204" s="46">
        <v>7</v>
      </c>
      <c r="E204" s="46">
        <v>2025</v>
      </c>
      <c r="F204" s="46">
        <v>10</v>
      </c>
      <c r="G204" s="50" t="s">
        <v>1160</v>
      </c>
      <c r="H204" s="37" t="s">
        <v>177</v>
      </c>
      <c r="I204" s="50" t="s">
        <v>439</v>
      </c>
      <c r="J204" s="50">
        <v>-20.5</v>
      </c>
      <c r="K204" s="51">
        <v>25</v>
      </c>
      <c r="L204" s="50" t="s">
        <v>30</v>
      </c>
      <c r="M204" s="51" t="s">
        <v>30</v>
      </c>
      <c r="N204" s="50">
        <v>4.26</v>
      </c>
      <c r="O204" s="50">
        <v>6.02</v>
      </c>
      <c r="P204" s="82">
        <v>14.78</v>
      </c>
      <c r="Q204" s="39">
        <v>60311005</v>
      </c>
      <c r="R204" s="46" t="s">
        <v>1114</v>
      </c>
      <c r="S204" s="46" t="s">
        <v>1115</v>
      </c>
      <c r="T204" s="46" t="s">
        <v>1116</v>
      </c>
      <c r="U204" t="str">
        <f>IFERROR(+VLOOKUP(H204,'DISPOSITIVOS ACTIVOS'!B:D,3,FALSE),"IPHONE")</f>
        <v>Iphone</v>
      </c>
      <c r="V204" t="str">
        <f>IFERROR(+VLOOKUP(H204,'[1]Migracion feb25 Ver to ATT'!$B:$G,6,FALSE), "NO MIGRADO")</f>
        <v>NO MIGRADO</v>
      </c>
      <c r="W204" s="26">
        <v>25</v>
      </c>
    </row>
    <row r="205" spans="1:23" x14ac:dyDescent="0.3">
      <c r="A205" t="s">
        <v>1140</v>
      </c>
      <c r="B205" s="46" t="s">
        <v>22</v>
      </c>
      <c r="C205" s="46" t="s">
        <v>1141</v>
      </c>
      <c r="D205" s="46">
        <v>7</v>
      </c>
      <c r="E205" s="46">
        <v>2025</v>
      </c>
      <c r="F205" s="46">
        <v>10</v>
      </c>
      <c r="G205" s="47" t="s">
        <v>180</v>
      </c>
      <c r="H205" s="36" t="s">
        <v>179</v>
      </c>
      <c r="I205" s="47" t="s">
        <v>440</v>
      </c>
      <c r="J205" s="47" t="s">
        <v>30</v>
      </c>
      <c r="K205" s="48">
        <v>50</v>
      </c>
      <c r="L205" s="47" t="s">
        <v>30</v>
      </c>
      <c r="M205" s="48" t="s">
        <v>30</v>
      </c>
      <c r="N205" s="48">
        <v>4.8600000000000003</v>
      </c>
      <c r="O205" s="47">
        <v>2.48</v>
      </c>
      <c r="P205" s="83">
        <v>57.34</v>
      </c>
      <c r="Q205" s="39">
        <v>60311005</v>
      </c>
      <c r="R205" s="46" t="s">
        <v>1065</v>
      </c>
      <c r="S205" s="46" t="s">
        <v>1066</v>
      </c>
      <c r="T205" s="46" t="s">
        <v>1067</v>
      </c>
      <c r="U205" t="str">
        <f>IFERROR(+VLOOKUP(H205,'DISPOSITIVOS ACTIVOS'!B:D,3,FALSE),"IPHONE")</f>
        <v>Iphone</v>
      </c>
      <c r="V205" t="str">
        <f>IFERROR(+VLOOKUP(H205,'[1]Migracion feb25 Ver to ATT'!$B:$G,6,FALSE), "NO MIGRADO")</f>
        <v>Iphone</v>
      </c>
      <c r="W205" s="26">
        <v>15</v>
      </c>
    </row>
    <row r="206" spans="1:23" x14ac:dyDescent="0.3">
      <c r="A206" t="s">
        <v>1140</v>
      </c>
      <c r="B206" s="46" t="s">
        <v>22</v>
      </c>
      <c r="C206" s="46" t="s">
        <v>1141</v>
      </c>
      <c r="D206" s="46">
        <v>7</v>
      </c>
      <c r="E206" s="46">
        <v>2025</v>
      </c>
      <c r="F206" s="46">
        <v>10</v>
      </c>
      <c r="G206" s="50" t="s">
        <v>182</v>
      </c>
      <c r="H206" s="37" t="s">
        <v>181</v>
      </c>
      <c r="I206" s="50" t="s">
        <v>441</v>
      </c>
      <c r="J206" s="50" t="s">
        <v>30</v>
      </c>
      <c r="K206" s="51">
        <v>50</v>
      </c>
      <c r="L206" s="50" t="s">
        <v>30</v>
      </c>
      <c r="M206" s="51" t="s">
        <v>30</v>
      </c>
      <c r="N206" s="50">
        <v>4.8600000000000003</v>
      </c>
      <c r="O206" s="50">
        <v>2.48</v>
      </c>
      <c r="P206" s="82">
        <v>57.34</v>
      </c>
      <c r="Q206" s="39">
        <v>60311005</v>
      </c>
      <c r="R206" s="46" t="s">
        <v>1065</v>
      </c>
      <c r="S206" s="46" t="s">
        <v>1066</v>
      </c>
      <c r="T206" s="46" t="s">
        <v>1071</v>
      </c>
      <c r="U206" t="str">
        <f>IFERROR(+VLOOKUP(H206,'DISPOSITIVOS ACTIVOS'!B:D,3,FALSE),"IPHONE")</f>
        <v>Iphone</v>
      </c>
      <c r="V206" t="str">
        <f>IFERROR(+VLOOKUP(H206,'[1]Migracion feb25 Ver to ATT'!$B:$G,6,FALSE), "NO MIGRADO")</f>
        <v>Iphone</v>
      </c>
      <c r="W206" s="26">
        <v>15</v>
      </c>
    </row>
    <row r="207" spans="1:23" x14ac:dyDescent="0.3">
      <c r="A207" t="s">
        <v>1140</v>
      </c>
      <c r="B207" s="46" t="s">
        <v>22</v>
      </c>
      <c r="C207" s="46" t="s">
        <v>1141</v>
      </c>
      <c r="D207" s="46">
        <v>7</v>
      </c>
      <c r="E207" s="46">
        <v>2025</v>
      </c>
      <c r="F207" s="46">
        <v>10</v>
      </c>
      <c r="G207" s="47" t="s">
        <v>1161</v>
      </c>
      <c r="H207" s="36" t="s">
        <v>183</v>
      </c>
      <c r="I207" s="47" t="s">
        <v>444</v>
      </c>
      <c r="J207" s="47" t="s">
        <v>30</v>
      </c>
      <c r="K207" s="48">
        <v>50</v>
      </c>
      <c r="L207" s="47" t="s">
        <v>30</v>
      </c>
      <c r="M207" s="48" t="s">
        <v>30</v>
      </c>
      <c r="N207" s="48">
        <v>4.8600000000000003</v>
      </c>
      <c r="O207" s="47">
        <v>2.48</v>
      </c>
      <c r="P207" s="83">
        <v>57.34</v>
      </c>
      <c r="Q207" s="39">
        <v>60311005</v>
      </c>
      <c r="R207" s="46" t="s">
        <v>1065</v>
      </c>
      <c r="S207" s="46" t="s">
        <v>1066</v>
      </c>
      <c r="T207" s="46" t="s">
        <v>1084</v>
      </c>
      <c r="U207" t="str">
        <f>IFERROR(+VLOOKUP(H207,'DISPOSITIVOS ACTIVOS'!B:D,3,FALSE),"IPHONE")</f>
        <v>Iphone</v>
      </c>
      <c r="V207" t="str">
        <f>IFERROR(+VLOOKUP(H207,'[1]Migracion feb25 Ver to ATT'!$B:$G,6,FALSE), "NO MIGRADO")</f>
        <v>Iphone</v>
      </c>
      <c r="W207" s="26">
        <v>15</v>
      </c>
    </row>
    <row r="208" spans="1:23" x14ac:dyDescent="0.3">
      <c r="A208" t="s">
        <v>1140</v>
      </c>
      <c r="B208" s="46" t="s">
        <v>22</v>
      </c>
      <c r="C208" s="46" t="s">
        <v>1141</v>
      </c>
      <c r="D208" s="46">
        <v>7</v>
      </c>
      <c r="E208" s="46">
        <v>2025</v>
      </c>
      <c r="F208" s="46">
        <v>10</v>
      </c>
      <c r="G208" s="50" t="s">
        <v>186</v>
      </c>
      <c r="H208" s="37" t="s">
        <v>185</v>
      </c>
      <c r="I208" s="50" t="s">
        <v>445</v>
      </c>
      <c r="J208" s="50" t="s">
        <v>30</v>
      </c>
      <c r="K208" s="51">
        <v>50</v>
      </c>
      <c r="L208" s="50" t="s">
        <v>30</v>
      </c>
      <c r="M208" s="51" t="s">
        <v>30</v>
      </c>
      <c r="N208" s="50">
        <v>4.8600000000000003</v>
      </c>
      <c r="O208" s="50">
        <v>2.48</v>
      </c>
      <c r="P208" s="82">
        <v>57.34</v>
      </c>
      <c r="Q208" s="39">
        <v>60311005</v>
      </c>
      <c r="R208" s="46" t="s">
        <v>1079</v>
      </c>
      <c r="S208" s="46" t="s">
        <v>1080</v>
      </c>
      <c r="T208" s="46" t="s">
        <v>1097</v>
      </c>
      <c r="U208" t="str">
        <f>IFERROR(+VLOOKUP(H208,'DISPOSITIVOS ACTIVOS'!B:D,3,FALSE),"IPHONE")</f>
        <v xml:space="preserve">Galaxy </v>
      </c>
      <c r="V208" t="str">
        <f>IFERROR(+VLOOKUP(H208,'[1]Migracion feb25 Ver to ATT'!$B:$G,6,FALSE), "NO MIGRADO")</f>
        <v xml:space="preserve">Galaxy </v>
      </c>
      <c r="W208" s="26">
        <v>15</v>
      </c>
    </row>
    <row r="209" spans="1:23" x14ac:dyDescent="0.3">
      <c r="A209" t="s">
        <v>1140</v>
      </c>
      <c r="B209" s="46" t="s">
        <v>22</v>
      </c>
      <c r="C209" s="46" t="s">
        <v>1141</v>
      </c>
      <c r="D209" s="46">
        <v>7</v>
      </c>
      <c r="E209" s="46">
        <v>2025</v>
      </c>
      <c r="F209" s="46">
        <v>10</v>
      </c>
      <c r="G209" s="47" t="s">
        <v>188</v>
      </c>
      <c r="H209" s="36" t="s">
        <v>187</v>
      </c>
      <c r="I209" s="47" t="s">
        <v>446</v>
      </c>
      <c r="J209" s="47" t="s">
        <v>30</v>
      </c>
      <c r="K209" s="48">
        <v>25</v>
      </c>
      <c r="L209" s="47" t="s">
        <v>30</v>
      </c>
      <c r="M209" s="48" t="s">
        <v>30</v>
      </c>
      <c r="N209" s="48">
        <v>4.53</v>
      </c>
      <c r="O209" s="47">
        <v>4.3099999999999996</v>
      </c>
      <c r="P209" s="83">
        <v>33.840000000000003</v>
      </c>
      <c r="Q209" s="39">
        <v>60311005</v>
      </c>
      <c r="R209" s="46" t="s">
        <v>1079</v>
      </c>
      <c r="S209" s="46" t="s">
        <v>1080</v>
      </c>
      <c r="T209" s="46" t="s">
        <v>1134</v>
      </c>
      <c r="U209" t="str">
        <f>IFERROR(+VLOOKUP(H209,'DISPOSITIVOS ACTIVOS'!B:D,3,FALSE),"IPHONE")</f>
        <v>Galaxy</v>
      </c>
      <c r="V209" t="str">
        <f>IFERROR(+VLOOKUP(H209,'[1]Migracion feb25 Ver to ATT'!$B:$G,6,FALSE), "NO MIGRADO")</f>
        <v>NO MIGRADO</v>
      </c>
      <c r="W209" s="26">
        <v>25</v>
      </c>
    </row>
    <row r="210" spans="1:23" x14ac:dyDescent="0.3">
      <c r="A210" t="s">
        <v>1140</v>
      </c>
      <c r="B210" s="46" t="s">
        <v>22</v>
      </c>
      <c r="C210" s="46" t="s">
        <v>1141</v>
      </c>
      <c r="D210" s="46">
        <v>7</v>
      </c>
      <c r="E210" s="46">
        <v>2025</v>
      </c>
      <c r="F210" s="46">
        <v>10</v>
      </c>
      <c r="G210" s="50" t="s">
        <v>190</v>
      </c>
      <c r="H210" s="37" t="s">
        <v>189</v>
      </c>
      <c r="I210" s="50" t="s">
        <v>447</v>
      </c>
      <c r="J210" s="50" t="s">
        <v>30</v>
      </c>
      <c r="K210" s="51">
        <v>50</v>
      </c>
      <c r="L210" s="50" t="s">
        <v>30</v>
      </c>
      <c r="M210" s="51" t="s">
        <v>30</v>
      </c>
      <c r="N210" s="50">
        <v>4.8600000000000003</v>
      </c>
      <c r="O210" s="50">
        <v>2.48</v>
      </c>
      <c r="P210" s="82">
        <v>57.34</v>
      </c>
      <c r="Q210" s="39">
        <v>60311005</v>
      </c>
      <c r="R210" s="46" t="s">
        <v>1065</v>
      </c>
      <c r="S210" s="46" t="s">
        <v>1100</v>
      </c>
      <c r="T210" s="46" t="s">
        <v>1101</v>
      </c>
      <c r="U210">
        <f>IFERROR(+VLOOKUP(H210,'DISPOSITIVOS ACTIVOS'!B:D,3,FALSE),"IPHONE")</f>
        <v>0</v>
      </c>
      <c r="V210" t="str">
        <f>IFERROR(+VLOOKUP(H210,'[1]Migracion feb25 Ver to ATT'!$B:$G,6,FALSE), "NO MIGRADO")</f>
        <v>Iphone</v>
      </c>
      <c r="W210" s="26">
        <v>15</v>
      </c>
    </row>
    <row r="211" spans="1:23" x14ac:dyDescent="0.3">
      <c r="A211" t="s">
        <v>1140</v>
      </c>
      <c r="B211" s="46" t="s">
        <v>22</v>
      </c>
      <c r="C211" s="46" t="s">
        <v>1141</v>
      </c>
      <c r="D211" s="46">
        <v>7</v>
      </c>
      <c r="E211" s="46">
        <v>2025</v>
      </c>
      <c r="F211" s="46">
        <v>10</v>
      </c>
      <c r="G211" s="47" t="s">
        <v>166</v>
      </c>
      <c r="H211" s="36" t="s">
        <v>192</v>
      </c>
      <c r="I211" s="47" t="s">
        <v>448</v>
      </c>
      <c r="J211" s="47" t="s">
        <v>30</v>
      </c>
      <c r="K211" s="48">
        <v>50</v>
      </c>
      <c r="L211" s="47" t="s">
        <v>30</v>
      </c>
      <c r="M211" s="48" t="s">
        <v>30</v>
      </c>
      <c r="N211" s="48">
        <v>4.8600000000000003</v>
      </c>
      <c r="O211" s="47">
        <v>2.48</v>
      </c>
      <c r="P211" s="83">
        <v>57.34</v>
      </c>
      <c r="Q211" s="39">
        <v>60311005</v>
      </c>
      <c r="R211" s="46" t="s">
        <v>1079</v>
      </c>
      <c r="S211" s="46" t="s">
        <v>1080</v>
      </c>
      <c r="T211" s="46" t="s">
        <v>1097</v>
      </c>
      <c r="U211" t="str">
        <f>IFERROR(+VLOOKUP(H211,'DISPOSITIVOS ACTIVOS'!B:D,3,FALSE),"IPHONE")</f>
        <v xml:space="preserve">Galaxy </v>
      </c>
      <c r="V211" t="str">
        <f>IFERROR(+VLOOKUP(H211,'[1]Migracion feb25 Ver to ATT'!$B:$G,6,FALSE), "NO MIGRADO")</f>
        <v xml:space="preserve">Galaxy </v>
      </c>
      <c r="W211" s="26">
        <v>15</v>
      </c>
    </row>
    <row r="212" spans="1:23" x14ac:dyDescent="0.3">
      <c r="A212" t="s">
        <v>1140</v>
      </c>
      <c r="B212" s="46" t="s">
        <v>22</v>
      </c>
      <c r="C212" s="46" t="s">
        <v>1141</v>
      </c>
      <c r="D212" s="46">
        <v>7</v>
      </c>
      <c r="E212" s="46">
        <v>2025</v>
      </c>
      <c r="F212" s="46">
        <v>10</v>
      </c>
      <c r="G212" s="50" t="s">
        <v>196</v>
      </c>
      <c r="H212" s="37" t="s">
        <v>195</v>
      </c>
      <c r="I212" s="50" t="s">
        <v>451</v>
      </c>
      <c r="J212" s="50" t="s">
        <v>30</v>
      </c>
      <c r="K212" s="51">
        <v>50</v>
      </c>
      <c r="L212" s="50" t="s">
        <v>30</v>
      </c>
      <c r="M212" s="51" t="s">
        <v>30</v>
      </c>
      <c r="N212" s="50">
        <v>4.8600000000000003</v>
      </c>
      <c r="O212" s="50">
        <v>2.48</v>
      </c>
      <c r="P212" s="82">
        <v>57.34</v>
      </c>
      <c r="Q212" s="39">
        <v>60311005</v>
      </c>
      <c r="R212" s="46" t="s">
        <v>1079</v>
      </c>
      <c r="S212" s="46" t="s">
        <v>1080</v>
      </c>
      <c r="T212" s="46" t="s">
        <v>1134</v>
      </c>
      <c r="U212" t="str">
        <f>IFERROR(+VLOOKUP(H212,'DISPOSITIVOS ACTIVOS'!B:D,3,FALSE),"IPHONE")</f>
        <v xml:space="preserve">Galaxy </v>
      </c>
      <c r="V212" t="str">
        <f>IFERROR(+VLOOKUP(H212,'[1]Migracion feb25 Ver to ATT'!$B:$G,6,FALSE), "NO MIGRADO")</f>
        <v xml:space="preserve">Galaxy </v>
      </c>
      <c r="W212" s="26">
        <v>15</v>
      </c>
    </row>
    <row r="213" spans="1:23" x14ac:dyDescent="0.3">
      <c r="A213" t="s">
        <v>1140</v>
      </c>
      <c r="B213" s="46" t="s">
        <v>22</v>
      </c>
      <c r="C213" s="46" t="s">
        <v>1141</v>
      </c>
      <c r="D213" s="46">
        <v>7</v>
      </c>
      <c r="E213" s="46">
        <v>2025</v>
      </c>
      <c r="F213" s="46">
        <v>10</v>
      </c>
      <c r="G213" s="100" t="s">
        <v>1033</v>
      </c>
      <c r="H213" s="36" t="s">
        <v>197</v>
      </c>
      <c r="I213" s="47" t="s">
        <v>453</v>
      </c>
      <c r="J213" s="47" t="s">
        <v>30</v>
      </c>
      <c r="K213" s="48">
        <v>25</v>
      </c>
      <c r="L213" s="47" t="s">
        <v>30</v>
      </c>
      <c r="M213" s="48" t="s">
        <v>30</v>
      </c>
      <c r="N213" s="48">
        <v>0.33</v>
      </c>
      <c r="O213" s="47">
        <v>2.36</v>
      </c>
      <c r="P213" s="83">
        <v>27.69</v>
      </c>
      <c r="Q213" s="39">
        <v>60311005</v>
      </c>
      <c r="R213" s="46" t="s">
        <v>1065</v>
      </c>
      <c r="S213" s="46" t="s">
        <v>1066</v>
      </c>
      <c r="T213" s="46" t="s">
        <v>1067</v>
      </c>
      <c r="U213" t="str">
        <f>IFERROR(+VLOOKUP(H213,'DISPOSITIVOS ACTIVOS'!B:D,3,FALSE),"IPHONE")</f>
        <v>IPHONE</v>
      </c>
      <c r="V213" t="str">
        <f>IFERROR(+VLOOKUP(H213,'[1]Migracion feb25 Ver to ATT'!$B:$G,6,FALSE), "NO MIGRADO")</f>
        <v>NO MIGRADO</v>
      </c>
      <c r="W213" s="26">
        <v>25</v>
      </c>
    </row>
    <row r="214" spans="1:23" x14ac:dyDescent="0.3">
      <c r="A214" t="s">
        <v>1140</v>
      </c>
      <c r="B214" s="46" t="s">
        <v>22</v>
      </c>
      <c r="C214" s="46" t="s">
        <v>1141</v>
      </c>
      <c r="D214" s="46">
        <v>7</v>
      </c>
      <c r="E214" s="46">
        <v>2025</v>
      </c>
      <c r="F214" s="46">
        <v>10</v>
      </c>
      <c r="G214" s="50" t="s">
        <v>116</v>
      </c>
      <c r="H214" s="37" t="s">
        <v>199</v>
      </c>
      <c r="I214" s="50" t="s">
        <v>456</v>
      </c>
      <c r="J214" s="50" t="s">
        <v>30</v>
      </c>
      <c r="K214" s="51">
        <v>50</v>
      </c>
      <c r="L214" s="50" t="s">
        <v>30</v>
      </c>
      <c r="M214" s="51" t="s">
        <v>30</v>
      </c>
      <c r="N214" s="50">
        <v>4.8600000000000003</v>
      </c>
      <c r="O214" s="50">
        <v>2.48</v>
      </c>
      <c r="P214" s="82">
        <v>57.34</v>
      </c>
      <c r="Q214" s="39">
        <v>10145005</v>
      </c>
      <c r="R214" s="46"/>
      <c r="S214" s="46"/>
      <c r="T214" s="46"/>
      <c r="U214" t="str">
        <f>IFERROR(+VLOOKUP(H214,'DISPOSITIVOS ACTIVOS'!B:D,3,FALSE),"IPHONE")</f>
        <v>Iphone</v>
      </c>
      <c r="V214" t="str">
        <f>IFERROR(+VLOOKUP(H214,'[1]Migracion feb25 Ver to ATT'!$B:$G,6,FALSE), "NO MIGRADO")</f>
        <v>Iphone</v>
      </c>
      <c r="W214" s="26">
        <v>15</v>
      </c>
    </row>
    <row r="215" spans="1:23" x14ac:dyDescent="0.3">
      <c r="A215" t="s">
        <v>1140</v>
      </c>
      <c r="B215" s="46" t="s">
        <v>22</v>
      </c>
      <c r="C215" s="46" t="s">
        <v>1141</v>
      </c>
      <c r="D215" s="46">
        <v>7</v>
      </c>
      <c r="E215" s="46">
        <v>2025</v>
      </c>
      <c r="F215" s="46">
        <v>10</v>
      </c>
      <c r="G215" s="47" t="s">
        <v>201</v>
      </c>
      <c r="H215" s="36" t="s">
        <v>200</v>
      </c>
      <c r="I215" s="47" t="s">
        <v>458</v>
      </c>
      <c r="J215" s="47" t="s">
        <v>30</v>
      </c>
      <c r="K215" s="48">
        <v>25</v>
      </c>
      <c r="L215" s="47" t="s">
        <v>30</v>
      </c>
      <c r="M215" s="48" t="s">
        <v>30</v>
      </c>
      <c r="N215" s="48">
        <v>4.53</v>
      </c>
      <c r="O215" s="47">
        <v>4.3099999999999996</v>
      </c>
      <c r="P215" s="83">
        <v>33.840000000000003</v>
      </c>
      <c r="Q215" s="39">
        <v>60311005</v>
      </c>
      <c r="R215" s="46" t="s">
        <v>1114</v>
      </c>
      <c r="S215" s="46" t="s">
        <v>1115</v>
      </c>
      <c r="T215" s="46" t="s">
        <v>1116</v>
      </c>
      <c r="U215" t="str">
        <f>IFERROR(+VLOOKUP(H215,'DISPOSITIVOS ACTIVOS'!B:D,3,FALSE),"IPHONE")</f>
        <v>Galaxy</v>
      </c>
      <c r="V215" t="str">
        <f>IFERROR(+VLOOKUP(H215,'[1]Migracion feb25 Ver to ATT'!$B:$G,6,FALSE), "NO MIGRADO")</f>
        <v>NO MIGRADO</v>
      </c>
      <c r="W215" s="26">
        <v>25</v>
      </c>
    </row>
    <row r="216" spans="1:23" x14ac:dyDescent="0.3">
      <c r="A216" t="s">
        <v>1140</v>
      </c>
      <c r="B216" s="46" t="s">
        <v>22</v>
      </c>
      <c r="C216" s="46" t="s">
        <v>1141</v>
      </c>
      <c r="D216" s="46">
        <v>7</v>
      </c>
      <c r="E216" s="46">
        <v>2025</v>
      </c>
      <c r="F216" s="46">
        <v>10</v>
      </c>
      <c r="G216" s="50" t="s">
        <v>1159</v>
      </c>
      <c r="H216" s="37" t="s">
        <v>45</v>
      </c>
      <c r="I216" s="50" t="s">
        <v>459</v>
      </c>
      <c r="J216" s="50" t="s">
        <v>30</v>
      </c>
      <c r="K216" s="51">
        <v>15</v>
      </c>
      <c r="L216" s="50" t="s">
        <v>30</v>
      </c>
      <c r="M216" s="51" t="s">
        <v>30</v>
      </c>
      <c r="N216" s="50">
        <v>3.75</v>
      </c>
      <c r="O216" s="50" t="s">
        <v>30</v>
      </c>
      <c r="P216" s="82">
        <v>18.75</v>
      </c>
      <c r="Q216" s="39">
        <v>60311003</v>
      </c>
      <c r="R216" s="46" t="s">
        <v>1065</v>
      </c>
      <c r="S216" s="46" t="s">
        <v>1066</v>
      </c>
      <c r="T216" s="46" t="s">
        <v>1067</v>
      </c>
      <c r="U216" t="str">
        <f>IFERROR(+VLOOKUP(H216,'DISPOSITIVOS ACTIVOS'!B:D,3,FALSE),"IPHONE")</f>
        <v>Ipad</v>
      </c>
      <c r="V216" t="str">
        <f>IFERROR(+VLOOKUP(H216,'[1]Migracion feb25 Ver to ATT'!$B:$G,6,FALSE), "NO MIGRADO")</f>
        <v>NO MIGRADO</v>
      </c>
      <c r="W216" s="26">
        <v>15</v>
      </c>
    </row>
    <row r="217" spans="1:23" x14ac:dyDescent="0.3">
      <c r="A217" t="s">
        <v>1140</v>
      </c>
      <c r="B217" s="46" t="s">
        <v>22</v>
      </c>
      <c r="C217" s="46" t="s">
        <v>1141</v>
      </c>
      <c r="D217" s="46">
        <v>7</v>
      </c>
      <c r="E217" s="46">
        <v>2025</v>
      </c>
      <c r="F217" s="46">
        <v>10</v>
      </c>
      <c r="G217" s="47" t="s">
        <v>44</v>
      </c>
      <c r="H217" s="36" t="s">
        <v>43</v>
      </c>
      <c r="I217" s="47" t="s">
        <v>460</v>
      </c>
      <c r="J217" s="47" t="s">
        <v>30</v>
      </c>
      <c r="K217" s="48">
        <v>15</v>
      </c>
      <c r="L217" s="47" t="s">
        <v>30</v>
      </c>
      <c r="M217" s="48" t="s">
        <v>30</v>
      </c>
      <c r="N217" s="48">
        <v>3.75</v>
      </c>
      <c r="O217" s="47" t="s">
        <v>30</v>
      </c>
      <c r="P217" s="83">
        <v>18.75</v>
      </c>
      <c r="Q217" s="39">
        <v>60311003</v>
      </c>
      <c r="R217" s="46" t="s">
        <v>1065</v>
      </c>
      <c r="S217" s="46" t="s">
        <v>1066</v>
      </c>
      <c r="T217" s="46" t="s">
        <v>1067</v>
      </c>
      <c r="U217" t="str">
        <f>IFERROR(+VLOOKUP(H217,'DISPOSITIVOS ACTIVOS'!B:D,3,FALSE),"IPHONE")</f>
        <v>Ipad</v>
      </c>
      <c r="V217" t="str">
        <f>IFERROR(+VLOOKUP(H217,'[1]Migracion feb25 Ver to ATT'!$B:$G,6,FALSE), "NO MIGRADO")</f>
        <v>NO MIGRADO</v>
      </c>
      <c r="W217" s="26">
        <v>15</v>
      </c>
    </row>
    <row r="218" spans="1:23" x14ac:dyDescent="0.3">
      <c r="A218" t="s">
        <v>1140</v>
      </c>
      <c r="B218" s="46" t="s">
        <v>22</v>
      </c>
      <c r="C218" s="46" t="s">
        <v>1141</v>
      </c>
      <c r="D218" s="46">
        <v>7</v>
      </c>
      <c r="E218" s="46">
        <v>2025</v>
      </c>
      <c r="F218" s="46">
        <v>10</v>
      </c>
      <c r="G218" s="50" t="s">
        <v>203</v>
      </c>
      <c r="H218" s="37" t="s">
        <v>202</v>
      </c>
      <c r="I218" s="50" t="s">
        <v>461</v>
      </c>
      <c r="J218" s="50" t="s">
        <v>30</v>
      </c>
      <c r="K218" s="51">
        <v>50</v>
      </c>
      <c r="L218" s="50" t="s">
        <v>30</v>
      </c>
      <c r="M218" s="51" t="s">
        <v>30</v>
      </c>
      <c r="N218" s="50">
        <v>4.8600000000000003</v>
      </c>
      <c r="O218" s="50">
        <v>2.48</v>
      </c>
      <c r="P218" s="82">
        <v>57.34</v>
      </c>
      <c r="Q218" s="39">
        <v>60311005</v>
      </c>
      <c r="R218" s="46" t="s">
        <v>1065</v>
      </c>
      <c r="S218" s="46" t="s">
        <v>1066</v>
      </c>
      <c r="T218" s="46" t="s">
        <v>1084</v>
      </c>
      <c r="U218" t="str">
        <f>IFERROR(+VLOOKUP(H218,'DISPOSITIVOS ACTIVOS'!B:D,3,FALSE),"IPHONE")</f>
        <v>Iphone</v>
      </c>
      <c r="V218" t="str">
        <f>IFERROR(+VLOOKUP(H218,'[1]Migracion feb25 Ver to ATT'!$B:$G,6,FALSE), "NO MIGRADO")</f>
        <v>Iphone</v>
      </c>
      <c r="W218" s="26">
        <v>15</v>
      </c>
    </row>
    <row r="219" spans="1:23" x14ac:dyDescent="0.3">
      <c r="A219" t="s">
        <v>1140</v>
      </c>
      <c r="B219" s="46" t="s">
        <v>22</v>
      </c>
      <c r="C219" s="46" t="s">
        <v>1141</v>
      </c>
      <c r="D219" s="46">
        <v>7</v>
      </c>
      <c r="E219" s="46">
        <v>2025</v>
      </c>
      <c r="F219" s="46">
        <v>10</v>
      </c>
      <c r="G219" s="47" t="s">
        <v>450</v>
      </c>
      <c r="H219" s="36" t="s">
        <v>449</v>
      </c>
      <c r="I219" s="47" t="s">
        <v>462</v>
      </c>
      <c r="J219" s="47" t="s">
        <v>30</v>
      </c>
      <c r="K219" s="48">
        <v>15</v>
      </c>
      <c r="L219" s="47" t="s">
        <v>30</v>
      </c>
      <c r="M219" s="48" t="s">
        <v>30</v>
      </c>
      <c r="N219" s="48">
        <v>3.75</v>
      </c>
      <c r="O219" s="47" t="s">
        <v>30</v>
      </c>
      <c r="P219" s="83">
        <v>18.75</v>
      </c>
      <c r="Q219" s="39">
        <v>60311003</v>
      </c>
      <c r="R219" s="46" t="s">
        <v>1065</v>
      </c>
      <c r="S219" s="46" t="s">
        <v>1066</v>
      </c>
      <c r="T219" s="46" t="s">
        <v>1085</v>
      </c>
      <c r="U219" t="str">
        <f>IFERROR(+VLOOKUP(H219,'DISPOSITIVOS ACTIVOS'!B:D,3,FALSE),"IPHONE")</f>
        <v>Ipad</v>
      </c>
      <c r="V219" t="str">
        <f>IFERROR(+VLOOKUP(H219,'[1]Migracion feb25 Ver to ATT'!$B:$G,6,FALSE), "NO MIGRADO")</f>
        <v>NO MIGRADO</v>
      </c>
      <c r="W219" s="26">
        <v>15</v>
      </c>
    </row>
    <row r="220" spans="1:23" x14ac:dyDescent="0.3">
      <c r="A220" t="s">
        <v>1140</v>
      </c>
      <c r="B220" s="46" t="s">
        <v>22</v>
      </c>
      <c r="C220" s="46" t="s">
        <v>1141</v>
      </c>
      <c r="D220" s="46">
        <v>7</v>
      </c>
      <c r="E220" s="46">
        <v>2025</v>
      </c>
      <c r="F220" s="46">
        <v>10</v>
      </c>
      <c r="G220" s="98" t="s">
        <v>1162</v>
      </c>
      <c r="H220" s="37" t="s">
        <v>1163</v>
      </c>
      <c r="I220" s="50" t="s">
        <v>463</v>
      </c>
      <c r="J220" s="50">
        <v>-50</v>
      </c>
      <c r="K220" s="51">
        <v>50</v>
      </c>
      <c r="L220" s="50" t="s">
        <v>30</v>
      </c>
      <c r="M220" s="51" t="s">
        <v>30</v>
      </c>
      <c r="N220" s="50">
        <v>4.2</v>
      </c>
      <c r="O220" s="50">
        <v>1.91</v>
      </c>
      <c r="P220" s="82">
        <v>6.11</v>
      </c>
      <c r="Q220" s="39">
        <v>60311005</v>
      </c>
      <c r="R220" s="46" t="s">
        <v>1065</v>
      </c>
      <c r="S220" s="46" t="s">
        <v>1100</v>
      </c>
      <c r="T220" s="46" t="s">
        <v>1117</v>
      </c>
      <c r="U220" t="str">
        <f>IFERROR(+VLOOKUP(H220,'DISPOSITIVOS ACTIVOS'!B:D,3,FALSE),"IPHONE")</f>
        <v>IPHONE</v>
      </c>
      <c r="V220" t="str">
        <f>IFERROR(+VLOOKUP(H220,'[1]Migracion feb25 Ver to ATT'!$B:$G,6,FALSE), "NO MIGRADO")</f>
        <v>NO MIGRADO</v>
      </c>
      <c r="W220" s="26">
        <v>25</v>
      </c>
    </row>
    <row r="221" spans="1:23" x14ac:dyDescent="0.3">
      <c r="A221" t="s">
        <v>1140</v>
      </c>
      <c r="B221" s="46" t="s">
        <v>22</v>
      </c>
      <c r="C221" s="46" t="s">
        <v>1141</v>
      </c>
      <c r="D221" s="46">
        <v>7</v>
      </c>
      <c r="E221" s="46">
        <v>2025</v>
      </c>
      <c r="F221" s="46">
        <v>10</v>
      </c>
      <c r="G221" s="99" t="s">
        <v>1164</v>
      </c>
      <c r="H221" s="36" t="s">
        <v>1165</v>
      </c>
      <c r="I221" s="47" t="s">
        <v>466</v>
      </c>
      <c r="J221" s="47">
        <v>-50</v>
      </c>
      <c r="K221" s="48">
        <v>50</v>
      </c>
      <c r="L221" s="47" t="s">
        <v>30</v>
      </c>
      <c r="M221" s="48" t="s">
        <v>30</v>
      </c>
      <c r="N221" s="48">
        <v>4.2</v>
      </c>
      <c r="O221" s="47">
        <v>1.91</v>
      </c>
      <c r="P221" s="83">
        <v>6.11</v>
      </c>
      <c r="Q221" s="39">
        <v>60311005</v>
      </c>
      <c r="R221" s="46" t="s">
        <v>1065</v>
      </c>
      <c r="S221" s="46" t="s">
        <v>1100</v>
      </c>
      <c r="T221" s="46" t="s">
        <v>1117</v>
      </c>
      <c r="U221" t="str">
        <f>IFERROR(+VLOOKUP(H221,'DISPOSITIVOS ACTIVOS'!B:D,3,FALSE),"IPHONE")</f>
        <v>IPHONE</v>
      </c>
      <c r="V221" t="str">
        <f>IFERROR(+VLOOKUP(H221,'[1]Migracion feb25 Ver to ATT'!$B:$G,6,FALSE), "NO MIGRADO")</f>
        <v>NO MIGRADO</v>
      </c>
      <c r="W221" s="26">
        <v>25</v>
      </c>
    </row>
    <row r="222" spans="1:23" x14ac:dyDescent="0.3">
      <c r="A222" t="s">
        <v>1140</v>
      </c>
      <c r="B222" s="46" t="s">
        <v>22</v>
      </c>
      <c r="C222" s="46" t="s">
        <v>1141</v>
      </c>
      <c r="D222" s="46">
        <v>7</v>
      </c>
      <c r="E222" s="46">
        <v>2025</v>
      </c>
      <c r="F222" s="46">
        <v>10</v>
      </c>
      <c r="G222" s="98" t="s">
        <v>1166</v>
      </c>
      <c r="H222" s="37" t="s">
        <v>1167</v>
      </c>
      <c r="I222" s="50" t="s">
        <v>468</v>
      </c>
      <c r="J222" s="50">
        <v>-50</v>
      </c>
      <c r="K222" s="51">
        <v>50</v>
      </c>
      <c r="L222" s="50" t="s">
        <v>30</v>
      </c>
      <c r="M222" s="51" t="s">
        <v>30</v>
      </c>
      <c r="N222" s="50">
        <v>4.2</v>
      </c>
      <c r="O222" s="50">
        <v>1.91</v>
      </c>
      <c r="P222" s="82">
        <v>6.11</v>
      </c>
      <c r="Q222" s="39">
        <v>60311005</v>
      </c>
      <c r="R222" s="46" t="s">
        <v>1065</v>
      </c>
      <c r="S222" s="46" t="s">
        <v>1100</v>
      </c>
      <c r="T222" s="46" t="s">
        <v>1117</v>
      </c>
      <c r="U222" t="str">
        <f>IFERROR(+VLOOKUP(H222,'DISPOSITIVOS ACTIVOS'!B:D,3,FALSE),"IPHONE")</f>
        <v>IPHONE</v>
      </c>
      <c r="V222" t="str">
        <f>IFERROR(+VLOOKUP(H222,'[1]Migracion feb25 Ver to ATT'!$B:$G,6,FALSE), "NO MIGRADO")</f>
        <v>NO MIGRADO</v>
      </c>
      <c r="W222" s="26">
        <v>25</v>
      </c>
    </row>
    <row r="223" spans="1:23" x14ac:dyDescent="0.3">
      <c r="A223" t="s">
        <v>1140</v>
      </c>
      <c r="B223" s="46" t="s">
        <v>22</v>
      </c>
      <c r="C223" s="46" t="s">
        <v>1141</v>
      </c>
      <c r="D223" s="46">
        <v>7</v>
      </c>
      <c r="E223" s="46">
        <v>2025</v>
      </c>
      <c r="F223" s="46">
        <v>10</v>
      </c>
      <c r="G223" s="47" t="s">
        <v>205</v>
      </c>
      <c r="H223" s="36" t="s">
        <v>204</v>
      </c>
      <c r="I223" s="47" t="s">
        <v>473</v>
      </c>
      <c r="J223" s="47" t="s">
        <v>30</v>
      </c>
      <c r="K223" s="48">
        <v>25</v>
      </c>
      <c r="L223" s="47" t="s">
        <v>30</v>
      </c>
      <c r="M223" s="48" t="s">
        <v>30</v>
      </c>
      <c r="N223" s="48">
        <v>4.53</v>
      </c>
      <c r="O223" s="47">
        <v>4.3099999999999996</v>
      </c>
      <c r="P223" s="83">
        <v>33.840000000000003</v>
      </c>
      <c r="Q223" s="39">
        <v>60311005</v>
      </c>
      <c r="R223" s="46" t="s">
        <v>1065</v>
      </c>
      <c r="S223" s="46" t="s">
        <v>1066</v>
      </c>
      <c r="T223" s="46" t="s">
        <v>1084</v>
      </c>
      <c r="U223" t="str">
        <f>IFERROR(+VLOOKUP(H223,'DISPOSITIVOS ACTIVOS'!B:D,3,FALSE),"IPHONE")</f>
        <v>Iphone</v>
      </c>
      <c r="V223" t="str">
        <f>IFERROR(+VLOOKUP(H223,'[1]Migracion feb25 Ver to ATT'!$B:$G,6,FALSE), "NO MIGRADO")</f>
        <v>NO MIGRADO</v>
      </c>
      <c r="W223" s="26">
        <v>25</v>
      </c>
    </row>
    <row r="224" spans="1:23" x14ac:dyDescent="0.3">
      <c r="A224" t="s">
        <v>1140</v>
      </c>
      <c r="B224" s="46" t="s">
        <v>22</v>
      </c>
      <c r="C224" s="46" t="s">
        <v>1141</v>
      </c>
      <c r="D224" s="46">
        <v>7</v>
      </c>
      <c r="E224" s="46">
        <v>2025</v>
      </c>
      <c r="F224" s="46">
        <v>10</v>
      </c>
      <c r="G224" s="50" t="s">
        <v>205</v>
      </c>
      <c r="H224" s="37" t="s">
        <v>826</v>
      </c>
      <c r="I224" s="50" t="s">
        <v>475</v>
      </c>
      <c r="J224" s="50">
        <v>4.5</v>
      </c>
      <c r="K224" s="51">
        <v>15</v>
      </c>
      <c r="L224" s="50" t="s">
        <v>30</v>
      </c>
      <c r="M224" s="51" t="s">
        <v>30</v>
      </c>
      <c r="N224" s="50">
        <v>3.75</v>
      </c>
      <c r="O224" s="50" t="s">
        <v>30</v>
      </c>
      <c r="P224" s="82">
        <v>23.25</v>
      </c>
      <c r="Q224" s="39">
        <v>60311003</v>
      </c>
      <c r="R224" s="46" t="s">
        <v>1065</v>
      </c>
      <c r="S224" s="46" t="s">
        <v>1066</v>
      </c>
      <c r="T224" s="46" t="s">
        <v>1084</v>
      </c>
      <c r="U224" t="str">
        <f>IFERROR(+VLOOKUP(H224,'DISPOSITIVOS ACTIVOS'!B:D,3,FALSE),"IPHONE")</f>
        <v>Ipad</v>
      </c>
      <c r="V224" t="str">
        <f>IFERROR(+VLOOKUP(H224,'[1]Migracion feb25 Ver to ATT'!$B:$G,6,FALSE), "NO MIGRADO")</f>
        <v>NO MIGRADO</v>
      </c>
      <c r="W224" s="26">
        <v>15</v>
      </c>
    </row>
    <row r="225" spans="1:23" x14ac:dyDescent="0.3">
      <c r="A225" t="s">
        <v>1140</v>
      </c>
      <c r="B225" s="46" t="s">
        <v>22</v>
      </c>
      <c r="C225" s="46" t="s">
        <v>1141</v>
      </c>
      <c r="D225" s="46">
        <v>7</v>
      </c>
      <c r="E225" s="46">
        <v>2025</v>
      </c>
      <c r="F225" s="46">
        <v>10</v>
      </c>
      <c r="G225" s="47" t="s">
        <v>1168</v>
      </c>
      <c r="H225" s="36" t="s">
        <v>454</v>
      </c>
      <c r="I225" s="47" t="s">
        <v>476</v>
      </c>
      <c r="J225" s="47" t="s">
        <v>30</v>
      </c>
      <c r="K225" s="48">
        <v>15</v>
      </c>
      <c r="L225" s="47" t="s">
        <v>30</v>
      </c>
      <c r="M225" s="48" t="s">
        <v>30</v>
      </c>
      <c r="N225" s="48">
        <v>3.75</v>
      </c>
      <c r="O225" s="47" t="s">
        <v>30</v>
      </c>
      <c r="P225" s="83">
        <v>18.75</v>
      </c>
      <c r="Q225" s="39">
        <v>10145005</v>
      </c>
      <c r="R225" s="46"/>
      <c r="S225" s="46"/>
      <c r="T225" s="46"/>
      <c r="U225" t="str">
        <f>IFERROR(+VLOOKUP(H225,'DISPOSITIVOS ACTIVOS'!B:D,3,FALSE),"IPHONE")</f>
        <v xml:space="preserve">Galaxy </v>
      </c>
      <c r="V225" t="str">
        <f>IFERROR(+VLOOKUP(H225,'[1]Migracion feb25 Ver to ATT'!$B:$G,6,FALSE), "NO MIGRADO")</f>
        <v>NO MIGRADO</v>
      </c>
      <c r="W225" s="26">
        <v>25</v>
      </c>
    </row>
    <row r="226" spans="1:23" x14ac:dyDescent="0.3">
      <c r="A226" t="s">
        <v>1140</v>
      </c>
      <c r="B226" s="46" t="s">
        <v>22</v>
      </c>
      <c r="C226" s="46" t="s">
        <v>1141</v>
      </c>
      <c r="D226" s="46">
        <v>7</v>
      </c>
      <c r="E226" s="46">
        <v>2025</v>
      </c>
      <c r="F226" s="46">
        <v>10</v>
      </c>
      <c r="G226" s="98" t="s">
        <v>1162</v>
      </c>
      <c r="H226" s="37" t="s">
        <v>1169</v>
      </c>
      <c r="I226" s="50" t="s">
        <v>481</v>
      </c>
      <c r="J226" s="50">
        <v>4</v>
      </c>
      <c r="K226" s="51">
        <v>15</v>
      </c>
      <c r="L226" s="50" t="s">
        <v>30</v>
      </c>
      <c r="M226" s="51" t="s">
        <v>30</v>
      </c>
      <c r="N226" s="50">
        <v>3.75</v>
      </c>
      <c r="O226" s="50" t="s">
        <v>30</v>
      </c>
      <c r="P226" s="82">
        <v>22.75</v>
      </c>
      <c r="Q226" s="39">
        <v>60311003</v>
      </c>
      <c r="R226" s="46" t="s">
        <v>1065</v>
      </c>
      <c r="S226" s="46" t="s">
        <v>1100</v>
      </c>
      <c r="T226" s="46" t="s">
        <v>1117</v>
      </c>
      <c r="U226" t="str">
        <f>IFERROR(+VLOOKUP(H226,'DISPOSITIVOS ACTIVOS'!B:D,3,FALSE),"IPHONE")</f>
        <v>IPHONE</v>
      </c>
      <c r="V226" t="str">
        <f>IFERROR(+VLOOKUP(H226,'[1]Migracion feb25 Ver to ATT'!$B:$G,6,FALSE), "NO MIGRADO")</f>
        <v>NO MIGRADO</v>
      </c>
      <c r="W226" s="26">
        <v>25</v>
      </c>
    </row>
    <row r="227" spans="1:23" x14ac:dyDescent="0.3">
      <c r="A227" t="s">
        <v>1140</v>
      </c>
      <c r="B227" s="46" t="s">
        <v>22</v>
      </c>
      <c r="C227" s="46" t="s">
        <v>1141</v>
      </c>
      <c r="D227" s="46">
        <v>7</v>
      </c>
      <c r="E227" s="46">
        <v>2025</v>
      </c>
      <c r="F227" s="46">
        <v>10</v>
      </c>
      <c r="G227" s="47" t="s">
        <v>207</v>
      </c>
      <c r="H227" s="36" t="s">
        <v>206</v>
      </c>
      <c r="I227" s="47" t="s">
        <v>483</v>
      </c>
      <c r="J227" s="47" t="s">
        <v>30</v>
      </c>
      <c r="K227" s="48">
        <v>25</v>
      </c>
      <c r="L227" s="47" t="s">
        <v>30</v>
      </c>
      <c r="M227" s="48" t="s">
        <v>30</v>
      </c>
      <c r="N227" s="48">
        <v>4.53</v>
      </c>
      <c r="O227" s="47">
        <v>4.3099999999999996</v>
      </c>
      <c r="P227" s="83">
        <v>33.840000000000003</v>
      </c>
      <c r="Q227" s="39">
        <v>60311005</v>
      </c>
      <c r="R227" s="46" t="s">
        <v>1079</v>
      </c>
      <c r="S227" s="46" t="s">
        <v>1080</v>
      </c>
      <c r="T227" s="46" t="s">
        <v>1134</v>
      </c>
      <c r="U227" t="str">
        <f>IFERROR(+VLOOKUP(H227,'DISPOSITIVOS ACTIVOS'!B:D,3,FALSE),"IPHONE")</f>
        <v>Iphone</v>
      </c>
      <c r="V227" t="str">
        <f>IFERROR(+VLOOKUP(H227,'[1]Migracion feb25 Ver to ATT'!$B:$G,6,FALSE), "NO MIGRADO")</f>
        <v>NO MIGRADO</v>
      </c>
      <c r="W227" s="26">
        <v>25</v>
      </c>
    </row>
    <row r="228" spans="1:23" x14ac:dyDescent="0.3">
      <c r="A228" t="s">
        <v>1140</v>
      </c>
      <c r="B228" s="46" t="s">
        <v>22</v>
      </c>
      <c r="C228" s="46" t="s">
        <v>1141</v>
      </c>
      <c r="D228" s="46">
        <v>7</v>
      </c>
      <c r="E228" s="46">
        <v>2025</v>
      </c>
      <c r="F228" s="46">
        <v>10</v>
      </c>
      <c r="G228" s="50" t="s">
        <v>209</v>
      </c>
      <c r="H228" s="37" t="s">
        <v>208</v>
      </c>
      <c r="I228" s="50" t="s">
        <v>484</v>
      </c>
      <c r="J228" s="50" t="s">
        <v>30</v>
      </c>
      <c r="K228" s="51">
        <v>50</v>
      </c>
      <c r="L228" s="50" t="s">
        <v>30</v>
      </c>
      <c r="M228" s="51" t="s">
        <v>30</v>
      </c>
      <c r="N228" s="50">
        <v>4.8600000000000003</v>
      </c>
      <c r="O228" s="50">
        <v>2.48</v>
      </c>
      <c r="P228" s="82">
        <v>57.34</v>
      </c>
      <c r="Q228" s="39">
        <v>60311005</v>
      </c>
      <c r="R228" s="46" t="s">
        <v>1065</v>
      </c>
      <c r="S228" s="46" t="s">
        <v>1066</v>
      </c>
      <c r="T228" s="46" t="s">
        <v>1085</v>
      </c>
      <c r="U228" t="str">
        <f>IFERROR(+VLOOKUP(H228,'DISPOSITIVOS ACTIVOS'!B:D,3,FALSE),"IPHONE")</f>
        <v>Iphone</v>
      </c>
      <c r="V228" t="str">
        <f>IFERROR(+VLOOKUP(H228,'[1]Migracion feb25 Ver to ATT'!$B:$G,6,FALSE), "NO MIGRADO")</f>
        <v>Iphone</v>
      </c>
      <c r="W228" s="26">
        <v>15</v>
      </c>
    </row>
    <row r="229" spans="1:23" x14ac:dyDescent="0.3">
      <c r="A229" t="s">
        <v>1140</v>
      </c>
      <c r="B229" s="46" t="s">
        <v>22</v>
      </c>
      <c r="C229" s="46" t="s">
        <v>1141</v>
      </c>
      <c r="D229" s="46">
        <v>7</v>
      </c>
      <c r="E229" s="46">
        <v>2025</v>
      </c>
      <c r="F229" s="46">
        <v>10</v>
      </c>
      <c r="G229" s="47" t="s">
        <v>211</v>
      </c>
      <c r="H229" s="36" t="s">
        <v>210</v>
      </c>
      <c r="I229" s="47" t="s">
        <v>485</v>
      </c>
      <c r="J229" s="47" t="s">
        <v>30</v>
      </c>
      <c r="K229" s="48">
        <v>15</v>
      </c>
      <c r="L229" s="47" t="s">
        <v>30</v>
      </c>
      <c r="M229" s="48" t="s">
        <v>30</v>
      </c>
      <c r="N229" s="48">
        <v>3.75</v>
      </c>
      <c r="O229" s="47" t="s">
        <v>30</v>
      </c>
      <c r="P229" s="83">
        <v>18.75</v>
      </c>
      <c r="Q229" s="39">
        <v>60311003</v>
      </c>
      <c r="R229" s="46" t="s">
        <v>1065</v>
      </c>
      <c r="S229" s="46" t="s">
        <v>1066</v>
      </c>
      <c r="T229" s="46" t="s">
        <v>1067</v>
      </c>
      <c r="U229" t="str">
        <f>IFERROR(+VLOOKUP(H229,'DISPOSITIVOS ACTIVOS'!B:D,3,FALSE),"IPHONE")</f>
        <v>Ipad</v>
      </c>
      <c r="V229" t="str">
        <f>IFERROR(+VLOOKUP(H229,'[1]Migracion feb25 Ver to ATT'!$B:$G,6,FALSE), "NO MIGRADO")</f>
        <v>NO MIGRADO</v>
      </c>
      <c r="W229" s="26">
        <v>15</v>
      </c>
    </row>
    <row r="230" spans="1:23" x14ac:dyDescent="0.3">
      <c r="A230" t="s">
        <v>1140</v>
      </c>
      <c r="B230" s="46" t="s">
        <v>22</v>
      </c>
      <c r="C230" s="46" t="s">
        <v>1141</v>
      </c>
      <c r="D230" s="46">
        <v>7</v>
      </c>
      <c r="E230" s="46">
        <v>2025</v>
      </c>
      <c r="F230" s="46">
        <v>10</v>
      </c>
      <c r="G230" s="50" t="s">
        <v>211</v>
      </c>
      <c r="H230" s="37" t="s">
        <v>212</v>
      </c>
      <c r="I230" s="50" t="s">
        <v>486</v>
      </c>
      <c r="J230" s="50" t="s">
        <v>30</v>
      </c>
      <c r="K230" s="51">
        <v>50</v>
      </c>
      <c r="L230" s="50" t="s">
        <v>30</v>
      </c>
      <c r="M230" s="51" t="s">
        <v>30</v>
      </c>
      <c r="N230" s="50">
        <v>4.8600000000000003</v>
      </c>
      <c r="O230" s="50">
        <v>2.48</v>
      </c>
      <c r="P230" s="82">
        <v>57.34</v>
      </c>
      <c r="Q230" s="39">
        <v>60311005</v>
      </c>
      <c r="R230" s="46" t="s">
        <v>1065</v>
      </c>
      <c r="S230" s="46" t="s">
        <v>1066</v>
      </c>
      <c r="T230" s="46" t="s">
        <v>1067</v>
      </c>
      <c r="U230" t="str">
        <f>IFERROR(+VLOOKUP(H230,'DISPOSITIVOS ACTIVOS'!B:D,3,FALSE),"IPHONE")</f>
        <v>Iphone</v>
      </c>
      <c r="V230" t="str">
        <f>IFERROR(+VLOOKUP(H230,'[1]Migracion feb25 Ver to ATT'!$B:$G,6,FALSE), "NO MIGRADO")</f>
        <v>Iphone</v>
      </c>
      <c r="W230" s="26">
        <v>15</v>
      </c>
    </row>
    <row r="231" spans="1:23" x14ac:dyDescent="0.3">
      <c r="A231" t="s">
        <v>1140</v>
      </c>
      <c r="B231" s="46" t="s">
        <v>22</v>
      </c>
      <c r="C231" s="46" t="s">
        <v>1141</v>
      </c>
      <c r="D231" s="46">
        <v>7</v>
      </c>
      <c r="E231" s="46">
        <v>2025</v>
      </c>
      <c r="F231" s="46">
        <v>10</v>
      </c>
      <c r="G231" s="47" t="s">
        <v>214</v>
      </c>
      <c r="H231" s="36" t="s">
        <v>213</v>
      </c>
      <c r="I231" s="47" t="s">
        <v>487</v>
      </c>
      <c r="J231" s="47" t="s">
        <v>30</v>
      </c>
      <c r="K231" s="48">
        <v>25</v>
      </c>
      <c r="L231" s="47" t="s">
        <v>30</v>
      </c>
      <c r="M231" s="48" t="s">
        <v>30</v>
      </c>
      <c r="N231" s="48">
        <v>4.53</v>
      </c>
      <c r="O231" s="47">
        <v>4.3099999999999996</v>
      </c>
      <c r="P231" s="83">
        <v>33.840000000000003</v>
      </c>
      <c r="Q231" s="39">
        <v>60311005</v>
      </c>
      <c r="R231" s="46" t="s">
        <v>1105</v>
      </c>
      <c r="S231" s="46" t="s">
        <v>1106</v>
      </c>
      <c r="T231" s="46" t="s">
        <v>1107</v>
      </c>
      <c r="U231" t="str">
        <f>IFERROR(+VLOOKUP(H231,'DISPOSITIVOS ACTIVOS'!B:D,3,FALSE),"IPHONE")</f>
        <v>Iphone</v>
      </c>
      <c r="V231" t="str">
        <f>IFERROR(+VLOOKUP(H231,'[1]Migracion feb25 Ver to ATT'!$B:$G,6,FALSE), "NO MIGRADO")</f>
        <v>NO MIGRADO</v>
      </c>
      <c r="W231" s="26">
        <v>25</v>
      </c>
    </row>
    <row r="232" spans="1:23" x14ac:dyDescent="0.3">
      <c r="A232" t="s">
        <v>1140</v>
      </c>
      <c r="B232" s="46" t="s">
        <v>22</v>
      </c>
      <c r="C232" s="46" t="s">
        <v>1141</v>
      </c>
      <c r="D232" s="46">
        <v>7</v>
      </c>
      <c r="E232" s="46">
        <v>2025</v>
      </c>
      <c r="F232" s="46">
        <v>10</v>
      </c>
      <c r="G232" s="50" t="s">
        <v>216</v>
      </c>
      <c r="H232" s="37" t="s">
        <v>215</v>
      </c>
      <c r="I232" s="50" t="s">
        <v>488</v>
      </c>
      <c r="J232" s="50" t="s">
        <v>30</v>
      </c>
      <c r="K232" s="51">
        <v>25</v>
      </c>
      <c r="L232" s="50">
        <v>20</v>
      </c>
      <c r="M232" s="51" t="s">
        <v>30</v>
      </c>
      <c r="N232" s="50">
        <v>4.53</v>
      </c>
      <c r="O232" s="50">
        <v>4.3099999999999996</v>
      </c>
      <c r="P232" s="82">
        <v>53.84</v>
      </c>
      <c r="Q232" s="39">
        <v>60311005</v>
      </c>
      <c r="R232" s="46">
        <v>11</v>
      </c>
      <c r="S232" s="46">
        <v>1100</v>
      </c>
      <c r="T232" s="46">
        <v>110002</v>
      </c>
      <c r="U232" t="str">
        <f>IFERROR(+VLOOKUP(H232,'DISPOSITIVOS ACTIVOS'!B:D,3,FALSE),"IPHONE")</f>
        <v>Iphone</v>
      </c>
      <c r="V232" t="str">
        <f>IFERROR(+VLOOKUP(H232,'[1]Migracion feb25 Ver to ATT'!$B:$G,6,FALSE), "NO MIGRADO")</f>
        <v>NO MIGRADO</v>
      </c>
      <c r="W232" s="26">
        <v>25</v>
      </c>
    </row>
    <row r="233" spans="1:23" x14ac:dyDescent="0.3">
      <c r="A233" t="s">
        <v>1140</v>
      </c>
      <c r="B233" s="46" t="s">
        <v>22</v>
      </c>
      <c r="C233" s="46" t="s">
        <v>1141</v>
      </c>
      <c r="D233" s="46">
        <v>7</v>
      </c>
      <c r="E233" s="46">
        <v>2025</v>
      </c>
      <c r="F233" s="46">
        <v>10</v>
      </c>
      <c r="G233" s="99" t="s">
        <v>1170</v>
      </c>
      <c r="H233" s="36" t="s">
        <v>1171</v>
      </c>
      <c r="I233" s="47" t="s">
        <v>489</v>
      </c>
      <c r="J233" s="47">
        <v>-50</v>
      </c>
      <c r="K233" s="48">
        <v>50</v>
      </c>
      <c r="L233" s="47" t="s">
        <v>30</v>
      </c>
      <c r="M233" s="48" t="s">
        <v>30</v>
      </c>
      <c r="N233" s="48">
        <v>4.2</v>
      </c>
      <c r="O233" s="47">
        <v>1.91</v>
      </c>
      <c r="P233" s="83">
        <v>6.11</v>
      </c>
      <c r="Q233" s="39">
        <v>60311005</v>
      </c>
      <c r="R233" s="46" t="s">
        <v>1065</v>
      </c>
      <c r="S233" s="46" t="s">
        <v>1100</v>
      </c>
      <c r="T233" s="46" t="s">
        <v>1101</v>
      </c>
      <c r="U233" t="str">
        <f>IFERROR(+VLOOKUP(H233,'DISPOSITIVOS ACTIVOS'!B:D,3,FALSE),"IPHONE")</f>
        <v>IPHONE</v>
      </c>
      <c r="V233" t="str">
        <f>IFERROR(+VLOOKUP(H233,'[1]Migracion feb25 Ver to ATT'!$B:$G,6,FALSE), "NO MIGRADO")</f>
        <v>NO MIGRADO</v>
      </c>
      <c r="W233" s="26">
        <v>25</v>
      </c>
    </row>
    <row r="234" spans="1:23" x14ac:dyDescent="0.3">
      <c r="A234" t="s">
        <v>1140</v>
      </c>
      <c r="B234" s="46" t="s">
        <v>22</v>
      </c>
      <c r="C234" s="46" t="s">
        <v>1141</v>
      </c>
      <c r="D234" s="46">
        <v>7</v>
      </c>
      <c r="E234" s="46">
        <v>2025</v>
      </c>
      <c r="F234" s="46">
        <v>10</v>
      </c>
      <c r="G234" s="98" t="s">
        <v>1172</v>
      </c>
      <c r="H234" s="37" t="s">
        <v>1173</v>
      </c>
      <c r="I234" s="50" t="s">
        <v>490</v>
      </c>
      <c r="J234" s="50">
        <v>0.5</v>
      </c>
      <c r="K234" s="51">
        <v>15</v>
      </c>
      <c r="L234" s="50" t="s">
        <v>30</v>
      </c>
      <c r="M234" s="51" t="s">
        <v>30</v>
      </c>
      <c r="N234" s="50">
        <v>3.75</v>
      </c>
      <c r="O234" s="50" t="s">
        <v>30</v>
      </c>
      <c r="P234" s="82">
        <v>19.25</v>
      </c>
      <c r="Q234" s="39">
        <v>60311005</v>
      </c>
      <c r="R234" s="90" t="s">
        <v>1065</v>
      </c>
      <c r="S234" s="90" t="s">
        <v>1066</v>
      </c>
      <c r="T234" s="90" t="s">
        <v>1085</v>
      </c>
      <c r="U234" t="str">
        <f>IFERROR(+VLOOKUP(H234,'DISPOSITIVOS ACTIVOS'!B:D,3,FALSE),"IPHONE")</f>
        <v>IPHONE</v>
      </c>
      <c r="V234" t="str">
        <f>IFERROR(+VLOOKUP(H234,'[1]Migracion feb25 Ver to ATT'!$B:$G,6,FALSE), "NO MIGRADO")</f>
        <v>NO MIGRADO</v>
      </c>
      <c r="W234" s="26">
        <v>25</v>
      </c>
    </row>
    <row r="235" spans="1:23" x14ac:dyDescent="0.3">
      <c r="A235" t="s">
        <v>1140</v>
      </c>
      <c r="B235" s="46" t="s">
        <v>22</v>
      </c>
      <c r="C235" s="46" t="s">
        <v>1141</v>
      </c>
      <c r="D235" s="46">
        <v>7</v>
      </c>
      <c r="E235" s="46">
        <v>2025</v>
      </c>
      <c r="F235" s="46">
        <v>10</v>
      </c>
      <c r="G235" s="99" t="s">
        <v>1170</v>
      </c>
      <c r="H235" s="36" t="s">
        <v>1174</v>
      </c>
      <c r="I235" s="47" t="s">
        <v>492</v>
      </c>
      <c r="J235" s="47">
        <v>0.5</v>
      </c>
      <c r="K235" s="48">
        <v>15</v>
      </c>
      <c r="L235" s="47" t="s">
        <v>30</v>
      </c>
      <c r="M235" s="48" t="s">
        <v>30</v>
      </c>
      <c r="N235" s="48">
        <v>3.75</v>
      </c>
      <c r="O235" s="47" t="s">
        <v>30</v>
      </c>
      <c r="P235" s="83">
        <v>19.25</v>
      </c>
      <c r="Q235" s="39">
        <v>60311003</v>
      </c>
      <c r="R235" s="46" t="s">
        <v>1065</v>
      </c>
      <c r="S235" s="46" t="s">
        <v>1100</v>
      </c>
      <c r="T235" s="46" t="s">
        <v>1101</v>
      </c>
      <c r="U235" t="str">
        <f>IFERROR(+VLOOKUP(H235,'DISPOSITIVOS ACTIVOS'!B:D,3,FALSE),"IPHONE")</f>
        <v>IPHONE</v>
      </c>
      <c r="V235" t="str">
        <f>IFERROR(+VLOOKUP(H235,'[1]Migracion feb25 Ver to ATT'!$B:$G,6,FALSE), "NO MIGRADO")</f>
        <v>NO MIGRADO</v>
      </c>
      <c r="W235" s="26">
        <v>25</v>
      </c>
    </row>
    <row r="236" spans="1:23" x14ac:dyDescent="0.3">
      <c r="A236" t="s">
        <v>1140</v>
      </c>
      <c r="B236" s="46" t="s">
        <v>22</v>
      </c>
      <c r="C236" s="46" t="s">
        <v>1141</v>
      </c>
      <c r="D236" s="46">
        <v>7</v>
      </c>
      <c r="E236" s="46">
        <v>2025</v>
      </c>
      <c r="F236" s="46">
        <v>10</v>
      </c>
      <c r="G236" s="50" t="s">
        <v>465</v>
      </c>
      <c r="H236" s="37" t="s">
        <v>464</v>
      </c>
      <c r="I236" s="50" t="s">
        <v>495</v>
      </c>
      <c r="J236" s="50" t="s">
        <v>30</v>
      </c>
      <c r="K236" s="51">
        <v>15</v>
      </c>
      <c r="L236" s="50" t="s">
        <v>30</v>
      </c>
      <c r="M236" s="51" t="s">
        <v>30</v>
      </c>
      <c r="N236" s="50">
        <v>3.75</v>
      </c>
      <c r="O236" s="50" t="s">
        <v>30</v>
      </c>
      <c r="P236" s="82">
        <v>18.75</v>
      </c>
      <c r="Q236" s="39">
        <v>10145005</v>
      </c>
      <c r="R236" s="46"/>
      <c r="S236" s="46"/>
      <c r="T236" s="46"/>
      <c r="U236" t="str">
        <f>IFERROR(+VLOOKUP(H236,'DISPOSITIVOS ACTIVOS'!B:D,3,FALSE),"IPHONE")</f>
        <v>Ipad</v>
      </c>
      <c r="V236" t="str">
        <f>IFERROR(+VLOOKUP(H236,'[1]Migracion feb25 Ver to ATT'!$B:$G,6,FALSE), "NO MIGRADO")</f>
        <v>NO MIGRADO</v>
      </c>
      <c r="W236" s="26">
        <v>15</v>
      </c>
    </row>
    <row r="237" spans="1:23" x14ac:dyDescent="0.3">
      <c r="A237" t="s">
        <v>1140</v>
      </c>
      <c r="B237" s="46" t="s">
        <v>22</v>
      </c>
      <c r="C237" s="46" t="s">
        <v>1141</v>
      </c>
      <c r="D237" s="46">
        <v>7</v>
      </c>
      <c r="E237" s="46">
        <v>2025</v>
      </c>
      <c r="F237" s="46">
        <v>10</v>
      </c>
      <c r="G237" s="99" t="s">
        <v>218</v>
      </c>
      <c r="H237" s="36" t="s">
        <v>217</v>
      </c>
      <c r="I237" s="47" t="s">
        <v>497</v>
      </c>
      <c r="J237" s="47" t="s">
        <v>30</v>
      </c>
      <c r="K237" s="48">
        <v>10</v>
      </c>
      <c r="L237" s="47" t="s">
        <v>30</v>
      </c>
      <c r="M237" s="48" t="s">
        <v>30</v>
      </c>
      <c r="N237" s="48" t="s">
        <v>30</v>
      </c>
      <c r="O237" s="47" t="s">
        <v>30</v>
      </c>
      <c r="P237" s="83">
        <v>10</v>
      </c>
      <c r="Q237" s="39">
        <v>60311005</v>
      </c>
      <c r="R237" s="46" t="s">
        <v>1065</v>
      </c>
      <c r="S237" s="46" t="s">
        <v>1066</v>
      </c>
      <c r="T237" s="46" t="s">
        <v>1067</v>
      </c>
      <c r="U237" t="str">
        <f>IFERROR(+VLOOKUP(H237,'DISPOSITIVOS ACTIVOS'!B:D,3,FALSE),"IPHONE")</f>
        <v>IPHONE</v>
      </c>
      <c r="V237" t="str">
        <f>IFERROR(+VLOOKUP(H237,'[1]Migracion feb25 Ver to ATT'!$B:$G,6,FALSE), "NO MIGRADO")</f>
        <v>NO MIGRADO</v>
      </c>
      <c r="W237" s="26">
        <v>25</v>
      </c>
    </row>
    <row r="238" spans="1:23" x14ac:dyDescent="0.3">
      <c r="A238" t="s">
        <v>1140</v>
      </c>
      <c r="B238" s="46" t="s">
        <v>22</v>
      </c>
      <c r="C238" s="46" t="s">
        <v>1141</v>
      </c>
      <c r="D238" s="46">
        <v>7</v>
      </c>
      <c r="E238" s="46">
        <v>2025</v>
      </c>
      <c r="F238" s="46">
        <v>10</v>
      </c>
      <c r="G238" s="50" t="s">
        <v>1175</v>
      </c>
      <c r="H238" s="37" t="s">
        <v>471</v>
      </c>
      <c r="I238" s="50" t="s">
        <v>499</v>
      </c>
      <c r="J238" s="50" t="s">
        <v>30</v>
      </c>
      <c r="K238" s="51">
        <v>15</v>
      </c>
      <c r="L238" s="50" t="s">
        <v>30</v>
      </c>
      <c r="M238" s="51" t="s">
        <v>30</v>
      </c>
      <c r="N238" s="50">
        <v>3.75</v>
      </c>
      <c r="O238" s="50" t="s">
        <v>30</v>
      </c>
      <c r="P238" s="82">
        <v>18.75</v>
      </c>
      <c r="Q238" s="39">
        <v>10145005</v>
      </c>
      <c r="R238" s="46"/>
      <c r="S238" s="46"/>
      <c r="T238" s="46"/>
      <c r="U238" t="str">
        <f>IFERROR(+VLOOKUP(H238,'DISPOSITIVOS ACTIVOS'!B:D,3,FALSE),"IPHONE")</f>
        <v>Ipad</v>
      </c>
      <c r="V238" t="str">
        <f>IFERROR(+VLOOKUP(H238,'[1]Migracion feb25 Ver to ATT'!$B:$G,6,FALSE), "NO MIGRADO")</f>
        <v>NO MIGRADO</v>
      </c>
      <c r="W238" s="26">
        <v>15</v>
      </c>
    </row>
    <row r="239" spans="1:23" x14ac:dyDescent="0.3">
      <c r="A239" t="s">
        <v>1140</v>
      </c>
      <c r="B239" s="46" t="s">
        <v>22</v>
      </c>
      <c r="C239" s="46" t="s">
        <v>1141</v>
      </c>
      <c r="D239" s="46">
        <v>7</v>
      </c>
      <c r="E239" s="46">
        <v>2025</v>
      </c>
      <c r="F239" s="46">
        <v>10</v>
      </c>
      <c r="G239" s="47" t="s">
        <v>1176</v>
      </c>
      <c r="H239" s="36" t="s">
        <v>51</v>
      </c>
      <c r="I239" s="47" t="s">
        <v>500</v>
      </c>
      <c r="J239" s="47" t="s">
        <v>30</v>
      </c>
      <c r="K239" s="48">
        <v>15</v>
      </c>
      <c r="L239" s="47" t="s">
        <v>30</v>
      </c>
      <c r="M239" s="48" t="s">
        <v>30</v>
      </c>
      <c r="N239" s="48">
        <v>3.75</v>
      </c>
      <c r="O239" s="47" t="s">
        <v>30</v>
      </c>
      <c r="P239" s="83">
        <v>18.75</v>
      </c>
      <c r="Q239" s="39">
        <v>60311003</v>
      </c>
      <c r="R239" s="46" t="s">
        <v>1065</v>
      </c>
      <c r="S239" s="46" t="s">
        <v>1066</v>
      </c>
      <c r="T239" s="46" t="s">
        <v>1084</v>
      </c>
      <c r="U239" t="str">
        <f>IFERROR(+VLOOKUP(H239,'DISPOSITIVOS ACTIVOS'!B:D,3,FALSE),"IPHONE")</f>
        <v>Ipad</v>
      </c>
      <c r="V239" t="str">
        <f>IFERROR(+VLOOKUP(H239,'[1]Migracion feb25 Ver to ATT'!$B:$G,6,FALSE), "NO MIGRADO")</f>
        <v>NO MIGRADO</v>
      </c>
      <c r="W239" s="26">
        <v>15</v>
      </c>
    </row>
    <row r="240" spans="1:23" x14ac:dyDescent="0.3">
      <c r="A240" t="s">
        <v>1140</v>
      </c>
      <c r="B240" s="46" t="s">
        <v>22</v>
      </c>
      <c r="C240" s="46" t="s">
        <v>1141</v>
      </c>
      <c r="D240" s="46">
        <v>7</v>
      </c>
      <c r="E240" s="46">
        <v>2025</v>
      </c>
      <c r="F240" s="46">
        <v>10</v>
      </c>
      <c r="G240" s="50" t="s">
        <v>24</v>
      </c>
      <c r="H240" s="37" t="s">
        <v>23</v>
      </c>
      <c r="I240" s="50" t="s">
        <v>501</v>
      </c>
      <c r="J240" s="50" t="s">
        <v>30</v>
      </c>
      <c r="K240" s="51">
        <v>25</v>
      </c>
      <c r="L240" s="50">
        <v>5.99</v>
      </c>
      <c r="M240" s="51" t="s">
        <v>30</v>
      </c>
      <c r="N240" s="50">
        <v>4.53</v>
      </c>
      <c r="O240" s="50">
        <v>4.3099999999999996</v>
      </c>
      <c r="P240" s="82">
        <v>39.83</v>
      </c>
      <c r="Q240" s="39">
        <v>60311005</v>
      </c>
      <c r="R240" s="46" t="s">
        <v>1065</v>
      </c>
      <c r="S240" s="46" t="s">
        <v>1066</v>
      </c>
      <c r="T240" s="46" t="s">
        <v>1067</v>
      </c>
      <c r="U240" t="str">
        <f>IFERROR(+VLOOKUP(H240,'DISPOSITIVOS ACTIVOS'!B:D,3,FALSE),"IPHONE")</f>
        <v>Iphone</v>
      </c>
      <c r="V240" t="str">
        <f>IFERROR(+VLOOKUP(H240,'[1]Migracion feb25 Ver to ATT'!$B:$G,6,FALSE), "NO MIGRADO")</f>
        <v>NO MIGRADO</v>
      </c>
      <c r="W240" s="26">
        <v>25</v>
      </c>
    </row>
    <row r="241" spans="1:23" x14ac:dyDescent="0.3">
      <c r="A241" t="s">
        <v>1140</v>
      </c>
      <c r="B241" s="46" t="s">
        <v>22</v>
      </c>
      <c r="C241" s="46" t="s">
        <v>1141</v>
      </c>
      <c r="D241" s="46">
        <v>7</v>
      </c>
      <c r="E241" s="46">
        <v>2025</v>
      </c>
      <c r="F241" s="46">
        <v>10</v>
      </c>
      <c r="G241" s="47" t="s">
        <v>1177</v>
      </c>
      <c r="H241" s="36" t="s">
        <v>58</v>
      </c>
      <c r="I241" s="47" t="s">
        <v>502</v>
      </c>
      <c r="J241" s="47" t="s">
        <v>30</v>
      </c>
      <c r="K241" s="48">
        <v>15</v>
      </c>
      <c r="L241" s="47">
        <v>12.78</v>
      </c>
      <c r="M241" s="48" t="s">
        <v>30</v>
      </c>
      <c r="N241" s="48">
        <v>3.75</v>
      </c>
      <c r="O241" s="47" t="s">
        <v>30</v>
      </c>
      <c r="P241" s="83">
        <v>31.53</v>
      </c>
      <c r="Q241" s="39">
        <v>60311003</v>
      </c>
      <c r="R241" s="46" t="s">
        <v>1065</v>
      </c>
      <c r="S241" s="46" t="s">
        <v>1066</v>
      </c>
      <c r="T241" s="46" t="s">
        <v>1067</v>
      </c>
      <c r="U241" t="str">
        <f>IFERROR(+VLOOKUP(H241,'DISPOSITIVOS ACTIVOS'!B:D,3,FALSE),"IPHONE")</f>
        <v>Ipad</v>
      </c>
      <c r="V241" t="str">
        <f>IFERROR(+VLOOKUP(H241,'[1]Migracion feb25 Ver to ATT'!$B:$G,6,FALSE), "NO MIGRADO")</f>
        <v>NO MIGRADO</v>
      </c>
      <c r="W241" s="26">
        <v>15</v>
      </c>
    </row>
    <row r="242" spans="1:23" x14ac:dyDescent="0.3">
      <c r="A242" t="s">
        <v>1140</v>
      </c>
      <c r="B242" s="46" t="s">
        <v>22</v>
      </c>
      <c r="C242" s="46" t="s">
        <v>1141</v>
      </c>
      <c r="D242" s="46">
        <v>7</v>
      </c>
      <c r="E242" s="46">
        <v>2025</v>
      </c>
      <c r="F242" s="46">
        <v>10</v>
      </c>
      <c r="G242" s="50" t="s">
        <v>24</v>
      </c>
      <c r="H242" s="37" t="s">
        <v>25</v>
      </c>
      <c r="I242" s="50" t="s">
        <v>503</v>
      </c>
      <c r="J242" s="50" t="s">
        <v>30</v>
      </c>
      <c r="K242" s="51">
        <v>25</v>
      </c>
      <c r="L242" s="50">
        <v>5.99</v>
      </c>
      <c r="M242" s="51" t="s">
        <v>30</v>
      </c>
      <c r="N242" s="50">
        <v>4.53</v>
      </c>
      <c r="O242" s="50">
        <v>4.3099999999999996</v>
      </c>
      <c r="P242" s="82">
        <v>39.83</v>
      </c>
      <c r="Q242" s="39">
        <v>60311005</v>
      </c>
      <c r="R242" s="46" t="s">
        <v>1065</v>
      </c>
      <c r="S242" s="46" t="s">
        <v>1100</v>
      </c>
      <c r="T242" s="46" t="s">
        <v>1136</v>
      </c>
      <c r="U242" t="str">
        <f>IFERROR(+VLOOKUP(H242,'DISPOSITIVOS ACTIVOS'!B:D,3,FALSE),"IPHONE")</f>
        <v>Iphone</v>
      </c>
      <c r="V242" t="str">
        <f>IFERROR(+VLOOKUP(H242,'[1]Migracion feb25 Ver to ATT'!$B:$G,6,FALSE), "NO MIGRADO")</f>
        <v>NO MIGRADO</v>
      </c>
      <c r="W242" s="26">
        <v>25</v>
      </c>
    </row>
    <row r="243" spans="1:23" x14ac:dyDescent="0.3">
      <c r="A243" t="s">
        <v>1140</v>
      </c>
      <c r="B243" s="46" t="s">
        <v>22</v>
      </c>
      <c r="C243" s="46" t="s">
        <v>1141</v>
      </c>
      <c r="D243" s="46">
        <v>7</v>
      </c>
      <c r="E243" s="46">
        <v>2025</v>
      </c>
      <c r="F243" s="46">
        <v>10</v>
      </c>
      <c r="G243" s="47" t="s">
        <v>27</v>
      </c>
      <c r="H243" s="36" t="s">
        <v>26</v>
      </c>
      <c r="I243" s="47" t="s">
        <v>504</v>
      </c>
      <c r="J243" s="47" t="s">
        <v>30</v>
      </c>
      <c r="K243" s="48">
        <v>25</v>
      </c>
      <c r="L243" s="47">
        <v>5.99</v>
      </c>
      <c r="M243" s="48" t="s">
        <v>30</v>
      </c>
      <c r="N243" s="48">
        <v>4.53</v>
      </c>
      <c r="O243" s="47">
        <v>4.3099999999999996</v>
      </c>
      <c r="P243" s="83">
        <v>39.83</v>
      </c>
      <c r="Q243" s="39">
        <v>60311005</v>
      </c>
      <c r="R243" s="46" t="s">
        <v>1065</v>
      </c>
      <c r="S243" s="46" t="s">
        <v>1066</v>
      </c>
      <c r="T243" s="46" t="s">
        <v>1085</v>
      </c>
      <c r="U243" t="str">
        <f>IFERROR(+VLOOKUP(H243,'DISPOSITIVOS ACTIVOS'!B:D,3,FALSE),"IPHONE")</f>
        <v>Iphone</v>
      </c>
      <c r="V243" t="str">
        <f>IFERROR(+VLOOKUP(H243,'[1]Migracion feb25 Ver to ATT'!$B:$G,6,FALSE), "NO MIGRADO")</f>
        <v>NO MIGRADO</v>
      </c>
      <c r="W243" s="26">
        <v>25</v>
      </c>
    </row>
    <row r="244" spans="1:23" x14ac:dyDescent="0.3">
      <c r="A244" t="s">
        <v>1140</v>
      </c>
      <c r="B244" s="46" t="s">
        <v>22</v>
      </c>
      <c r="C244" s="46" t="s">
        <v>1141</v>
      </c>
      <c r="D244" s="46">
        <v>7</v>
      </c>
      <c r="E244" s="46">
        <v>2025</v>
      </c>
      <c r="F244" s="46">
        <v>10</v>
      </c>
      <c r="G244" s="50" t="s">
        <v>1177</v>
      </c>
      <c r="H244" s="37" t="s">
        <v>57</v>
      </c>
      <c r="I244" s="50" t="s">
        <v>505</v>
      </c>
      <c r="J244" s="50" t="s">
        <v>30</v>
      </c>
      <c r="K244" s="51">
        <v>15</v>
      </c>
      <c r="L244" s="50">
        <v>12.78</v>
      </c>
      <c r="M244" s="51" t="s">
        <v>30</v>
      </c>
      <c r="N244" s="50">
        <v>3.75</v>
      </c>
      <c r="O244" s="50" t="s">
        <v>30</v>
      </c>
      <c r="P244" s="82">
        <v>31.53</v>
      </c>
      <c r="Q244" s="39">
        <v>60311003</v>
      </c>
      <c r="R244" s="46" t="s">
        <v>1065</v>
      </c>
      <c r="S244" s="46" t="s">
        <v>1100</v>
      </c>
      <c r="T244" s="46" t="s">
        <v>1136</v>
      </c>
      <c r="U244" t="str">
        <f>IFERROR(+VLOOKUP(H244,'DISPOSITIVOS ACTIVOS'!B:D,3,FALSE),"IPHONE")</f>
        <v>Ipad</v>
      </c>
      <c r="V244" t="str">
        <f>IFERROR(+VLOOKUP(H244,'[1]Migracion feb25 Ver to ATT'!$B:$G,6,FALSE), "NO MIGRADO")</f>
        <v>NO MIGRADO</v>
      </c>
      <c r="W244" s="26">
        <v>15</v>
      </c>
    </row>
    <row r="245" spans="1:23" x14ac:dyDescent="0.3">
      <c r="A245" t="s">
        <v>1140</v>
      </c>
      <c r="B245" s="46" t="s">
        <v>22</v>
      </c>
      <c r="C245" s="46" t="s">
        <v>1141</v>
      </c>
      <c r="D245" s="46">
        <v>7</v>
      </c>
      <c r="E245" s="46">
        <v>2025</v>
      </c>
      <c r="F245" s="46">
        <v>10</v>
      </c>
      <c r="G245" s="47" t="s">
        <v>1177</v>
      </c>
      <c r="H245" s="36" t="s">
        <v>55</v>
      </c>
      <c r="I245" s="47" t="s">
        <v>506</v>
      </c>
      <c r="J245" s="47" t="s">
        <v>30</v>
      </c>
      <c r="K245" s="48">
        <v>15</v>
      </c>
      <c r="L245" s="47">
        <v>12.78</v>
      </c>
      <c r="M245" s="48" t="s">
        <v>30</v>
      </c>
      <c r="N245" s="48">
        <v>3.75</v>
      </c>
      <c r="O245" s="47" t="s">
        <v>30</v>
      </c>
      <c r="P245" s="83">
        <v>31.53</v>
      </c>
      <c r="Q245" s="39">
        <v>60311003</v>
      </c>
      <c r="R245" s="46" t="s">
        <v>1065</v>
      </c>
      <c r="S245" s="46" t="s">
        <v>1066</v>
      </c>
      <c r="T245" s="46" t="s">
        <v>1085</v>
      </c>
      <c r="U245" t="str">
        <f>IFERROR(+VLOOKUP(H245,'DISPOSITIVOS ACTIVOS'!B:D,3,FALSE),"IPHONE")</f>
        <v>Ipad</v>
      </c>
      <c r="V245" t="str">
        <f>IFERROR(+VLOOKUP(H245,'[1]Migracion feb25 Ver to ATT'!$B:$G,6,FALSE), "NO MIGRADO")</f>
        <v>NO MIGRADO</v>
      </c>
      <c r="W245" s="26">
        <v>15</v>
      </c>
    </row>
    <row r="246" spans="1:23" x14ac:dyDescent="0.3">
      <c r="A246" t="s">
        <v>1140</v>
      </c>
      <c r="B246" s="46" t="s">
        <v>22</v>
      </c>
      <c r="C246" s="46" t="s">
        <v>1141</v>
      </c>
      <c r="D246" s="46">
        <v>7</v>
      </c>
      <c r="E246" s="46">
        <v>2025</v>
      </c>
      <c r="F246" s="46">
        <v>10</v>
      </c>
      <c r="G246" s="98" t="s">
        <v>1178</v>
      </c>
      <c r="H246" s="37" t="s">
        <v>1179</v>
      </c>
      <c r="I246" s="50" t="s">
        <v>507</v>
      </c>
      <c r="J246" s="50">
        <v>3.5</v>
      </c>
      <c r="K246" s="51">
        <v>15</v>
      </c>
      <c r="L246" s="50" t="s">
        <v>30</v>
      </c>
      <c r="M246" s="51" t="s">
        <v>30</v>
      </c>
      <c r="N246" s="50">
        <v>3.75</v>
      </c>
      <c r="O246" s="50" t="s">
        <v>30</v>
      </c>
      <c r="P246" s="82">
        <v>22.25</v>
      </c>
      <c r="Q246" s="39">
        <v>60311005</v>
      </c>
      <c r="R246" s="46" t="s">
        <v>1065</v>
      </c>
      <c r="S246" s="46" t="s">
        <v>1066</v>
      </c>
      <c r="T246" s="46" t="s">
        <v>1067</v>
      </c>
      <c r="U246" t="str">
        <f>IFERROR(+VLOOKUP(H246,'DISPOSITIVOS ACTIVOS'!B:D,3,FALSE),"IPHONE")</f>
        <v>IPHONE</v>
      </c>
      <c r="V246" t="str">
        <f>IFERROR(+VLOOKUP(H246,'[1]Migracion feb25 Ver to ATT'!$B:$G,6,FALSE), "NO MIGRADO")</f>
        <v>NO MIGRADO</v>
      </c>
      <c r="W246" s="26">
        <v>25</v>
      </c>
    </row>
    <row r="247" spans="1:23" x14ac:dyDescent="0.3">
      <c r="A247" t="s">
        <v>1140</v>
      </c>
      <c r="B247" s="46" t="s">
        <v>22</v>
      </c>
      <c r="C247" s="46" t="s">
        <v>1141</v>
      </c>
      <c r="D247" s="46">
        <v>7</v>
      </c>
      <c r="E247" s="46">
        <v>2025</v>
      </c>
      <c r="F247" s="46">
        <v>10</v>
      </c>
      <c r="G247" s="99" t="s">
        <v>1034</v>
      </c>
      <c r="H247" s="36" t="s">
        <v>219</v>
      </c>
      <c r="I247" s="47" t="s">
        <v>508</v>
      </c>
      <c r="J247" s="47" t="s">
        <v>30</v>
      </c>
      <c r="K247" s="48" t="s">
        <v>30</v>
      </c>
      <c r="L247" s="47">
        <v>5.99</v>
      </c>
      <c r="M247" s="48" t="s">
        <v>30</v>
      </c>
      <c r="N247" s="48" t="s">
        <v>30</v>
      </c>
      <c r="O247" s="47" t="s">
        <v>30</v>
      </c>
      <c r="P247" s="83">
        <v>5.99</v>
      </c>
      <c r="Q247" s="39">
        <v>60311005</v>
      </c>
      <c r="R247" s="46" t="s">
        <v>1065</v>
      </c>
      <c r="S247" s="46" t="s">
        <v>1066</v>
      </c>
      <c r="T247" s="46" t="s">
        <v>1067</v>
      </c>
      <c r="U247" t="str">
        <f>IFERROR(+VLOOKUP(H247,'DISPOSITIVOS ACTIVOS'!B:D,3,FALSE),"IPHONE")</f>
        <v>IPHONE</v>
      </c>
      <c r="V247" t="str">
        <f>IFERROR(+VLOOKUP(H247,'[1]Migracion feb25 Ver to ATT'!$B:$G,6,FALSE), "NO MIGRADO")</f>
        <v>NO MIGRADO</v>
      </c>
      <c r="W247" s="26">
        <v>25</v>
      </c>
    </row>
    <row r="248" spans="1:23" x14ac:dyDescent="0.3">
      <c r="A248" t="s">
        <v>1140</v>
      </c>
      <c r="B248" s="46" t="s">
        <v>22</v>
      </c>
      <c r="C248" s="46" t="s">
        <v>1141</v>
      </c>
      <c r="D248" s="46">
        <v>7</v>
      </c>
      <c r="E248" s="46">
        <v>2025</v>
      </c>
      <c r="F248" s="46">
        <v>10</v>
      </c>
      <c r="G248" s="50" t="s">
        <v>1180</v>
      </c>
      <c r="H248" s="37" t="s">
        <v>221</v>
      </c>
      <c r="I248" s="50" t="s">
        <v>509</v>
      </c>
      <c r="J248" s="50" t="s">
        <v>30</v>
      </c>
      <c r="K248" s="51">
        <v>25</v>
      </c>
      <c r="L248" s="50" t="s">
        <v>30</v>
      </c>
      <c r="M248" s="51" t="s">
        <v>30</v>
      </c>
      <c r="N248" s="50">
        <v>4.53</v>
      </c>
      <c r="O248" s="50">
        <v>4.3099999999999996</v>
      </c>
      <c r="P248" s="82">
        <v>33.840000000000003</v>
      </c>
      <c r="Q248" s="39">
        <v>10145005</v>
      </c>
      <c r="R248" s="46"/>
      <c r="S248" s="46"/>
      <c r="T248" s="46"/>
      <c r="U248">
        <f>IFERROR(+VLOOKUP(H248,'DISPOSITIVOS ACTIVOS'!B:D,3,FALSE),"IPHONE")</f>
        <v>0</v>
      </c>
      <c r="V248" t="str">
        <f>IFERROR(+VLOOKUP(H248,'[1]Migracion feb25 Ver to ATT'!$B:$G,6,FALSE), "NO MIGRADO")</f>
        <v>NO MIGRADO</v>
      </c>
      <c r="W248" s="26">
        <v>25</v>
      </c>
    </row>
    <row r="249" spans="1:23" x14ac:dyDescent="0.3">
      <c r="A249" t="s">
        <v>1140</v>
      </c>
      <c r="B249" s="46" t="s">
        <v>22</v>
      </c>
      <c r="C249" s="46" t="s">
        <v>1141</v>
      </c>
      <c r="D249" s="46">
        <v>7</v>
      </c>
      <c r="E249" s="46">
        <v>2025</v>
      </c>
      <c r="F249" s="46">
        <v>10</v>
      </c>
      <c r="G249" s="47" t="s">
        <v>1181</v>
      </c>
      <c r="H249" s="36" t="s">
        <v>61</v>
      </c>
      <c r="I249" s="47" t="s">
        <v>510</v>
      </c>
      <c r="J249" s="47" t="s">
        <v>30</v>
      </c>
      <c r="K249" s="48">
        <v>15</v>
      </c>
      <c r="L249" s="47" t="s">
        <v>30</v>
      </c>
      <c r="M249" s="48" t="s">
        <v>30</v>
      </c>
      <c r="N249" s="48">
        <v>3.75</v>
      </c>
      <c r="O249" s="47" t="s">
        <v>30</v>
      </c>
      <c r="P249" s="83">
        <v>18.75</v>
      </c>
      <c r="Q249" s="39">
        <v>60311003</v>
      </c>
      <c r="R249" s="46" t="s">
        <v>1065</v>
      </c>
      <c r="S249" s="46" t="s">
        <v>1066</v>
      </c>
      <c r="T249" s="46" t="s">
        <v>1084</v>
      </c>
      <c r="U249" t="str">
        <f>IFERROR(+VLOOKUP(H249,'DISPOSITIVOS ACTIVOS'!B:D,3,FALSE),"IPHONE")</f>
        <v>Ipad</v>
      </c>
      <c r="V249" t="str">
        <f>IFERROR(+VLOOKUP(H249,'[1]Migracion feb25 Ver to ATT'!$B:$G,6,FALSE), "NO MIGRADO")</f>
        <v>NO MIGRADO</v>
      </c>
      <c r="W249" s="26">
        <v>15</v>
      </c>
    </row>
    <row r="250" spans="1:23" x14ac:dyDescent="0.3">
      <c r="A250" t="s">
        <v>1140</v>
      </c>
      <c r="B250" s="46" t="s">
        <v>22</v>
      </c>
      <c r="C250" s="46" t="s">
        <v>1141</v>
      </c>
      <c r="D250" s="46">
        <v>7</v>
      </c>
      <c r="E250" s="46">
        <v>2025</v>
      </c>
      <c r="F250" s="46">
        <v>10</v>
      </c>
      <c r="G250" s="50" t="s">
        <v>1182</v>
      </c>
      <c r="H250" s="37" t="s">
        <v>59</v>
      </c>
      <c r="I250" s="50" t="s">
        <v>511</v>
      </c>
      <c r="J250" s="50" t="s">
        <v>30</v>
      </c>
      <c r="K250" s="51">
        <v>15</v>
      </c>
      <c r="L250" s="50" t="s">
        <v>30</v>
      </c>
      <c r="M250" s="51" t="s">
        <v>30</v>
      </c>
      <c r="N250" s="50">
        <v>3.75</v>
      </c>
      <c r="O250" s="50" t="s">
        <v>30</v>
      </c>
      <c r="P250" s="82">
        <v>18.75</v>
      </c>
      <c r="Q250" s="39">
        <v>60311003</v>
      </c>
      <c r="R250" s="46" t="s">
        <v>1065</v>
      </c>
      <c r="S250" s="46" t="s">
        <v>1066</v>
      </c>
      <c r="T250" s="46" t="s">
        <v>1085</v>
      </c>
      <c r="U250" t="str">
        <f>IFERROR(+VLOOKUP(H250,'DISPOSITIVOS ACTIVOS'!B:D,3,FALSE),"IPHONE")</f>
        <v>Ipad</v>
      </c>
      <c r="V250" t="str">
        <f>IFERROR(+VLOOKUP(H250,'[1]Migracion feb25 Ver to ATT'!$B:$G,6,FALSE), "NO MIGRADO")</f>
        <v>NO MIGRADO</v>
      </c>
      <c r="W250" s="26">
        <v>15</v>
      </c>
    </row>
    <row r="251" spans="1:23" x14ac:dyDescent="0.3">
      <c r="A251" t="s">
        <v>1140</v>
      </c>
      <c r="B251" s="46" t="s">
        <v>22</v>
      </c>
      <c r="C251" s="46" t="s">
        <v>1141</v>
      </c>
      <c r="D251" s="46">
        <v>7</v>
      </c>
      <c r="E251" s="46">
        <v>2025</v>
      </c>
      <c r="F251" s="46">
        <v>10</v>
      </c>
      <c r="G251" s="47" t="s">
        <v>1183</v>
      </c>
      <c r="H251" s="36" t="s">
        <v>491</v>
      </c>
      <c r="I251" s="47" t="s">
        <v>512</v>
      </c>
      <c r="J251" s="47">
        <v>-35</v>
      </c>
      <c r="K251" s="48">
        <v>50</v>
      </c>
      <c r="L251" s="47" t="s">
        <v>30</v>
      </c>
      <c r="M251" s="48" t="s">
        <v>30</v>
      </c>
      <c r="N251" s="48">
        <v>4.2300000000000004</v>
      </c>
      <c r="O251" s="47">
        <v>2.4900000000000002</v>
      </c>
      <c r="P251" s="83">
        <v>21.72</v>
      </c>
      <c r="Q251" s="39">
        <v>10145005</v>
      </c>
      <c r="R251" s="46"/>
      <c r="S251" s="46"/>
      <c r="T251" s="46"/>
      <c r="U251">
        <f>IFERROR(+VLOOKUP(H251,'DISPOSITIVOS ACTIVOS'!B:D,3,FALSE),"IPHONE")</f>
        <v>0</v>
      </c>
      <c r="V251" t="str">
        <f>IFERROR(+VLOOKUP(H251,'[1]Migracion feb25 Ver to ATT'!$B:$G,6,FALSE), "NO MIGRADO")</f>
        <v>NO MIGRADO</v>
      </c>
      <c r="W251" s="26">
        <v>25</v>
      </c>
    </row>
    <row r="252" spans="1:23" x14ac:dyDescent="0.3">
      <c r="A252" t="s">
        <v>1140</v>
      </c>
      <c r="B252" s="46" t="s">
        <v>22</v>
      </c>
      <c r="C252" s="46" t="s">
        <v>1141</v>
      </c>
      <c r="D252" s="46">
        <v>7</v>
      </c>
      <c r="E252" s="46">
        <v>2025</v>
      </c>
      <c r="F252" s="46">
        <v>10</v>
      </c>
      <c r="G252" s="50" t="s">
        <v>29</v>
      </c>
      <c r="H252" s="37" t="s">
        <v>28</v>
      </c>
      <c r="I252" s="50" t="s">
        <v>517</v>
      </c>
      <c r="J252" s="50" t="s">
        <v>30</v>
      </c>
      <c r="K252" s="51">
        <v>15</v>
      </c>
      <c r="L252" s="50" t="s">
        <v>30</v>
      </c>
      <c r="M252" s="51" t="s">
        <v>30</v>
      </c>
      <c r="N252" s="50">
        <v>3.75</v>
      </c>
      <c r="O252" s="50" t="s">
        <v>30</v>
      </c>
      <c r="P252" s="82">
        <v>18.75</v>
      </c>
      <c r="Q252" s="39">
        <v>10145003</v>
      </c>
      <c r="R252" s="46"/>
      <c r="S252" s="46"/>
      <c r="T252" s="46"/>
      <c r="U252" t="str">
        <f>IFERROR(+VLOOKUP(H252,'DISPOSITIVOS ACTIVOS'!B:D,3,FALSE),"IPHONE")</f>
        <v>no aplica</v>
      </c>
      <c r="V252" t="str">
        <f>IFERROR(+VLOOKUP(H252,'[1]Migracion feb25 Ver to ATT'!$B:$G,6,FALSE), "NO MIGRADO")</f>
        <v>NO MIGRADO</v>
      </c>
      <c r="W252" s="26">
        <v>25</v>
      </c>
    </row>
    <row r="253" spans="1:23" x14ac:dyDescent="0.3">
      <c r="A253" t="s">
        <v>1140</v>
      </c>
      <c r="B253" s="46" t="s">
        <v>22</v>
      </c>
      <c r="C253" s="46" t="s">
        <v>1141</v>
      </c>
      <c r="D253" s="46">
        <v>7</v>
      </c>
      <c r="E253" s="46">
        <v>2025</v>
      </c>
      <c r="F253" s="46">
        <v>10</v>
      </c>
      <c r="G253" s="47" t="s">
        <v>870</v>
      </c>
      <c r="H253" s="36" t="s">
        <v>223</v>
      </c>
      <c r="I253" s="47" t="s">
        <v>518</v>
      </c>
      <c r="J253" s="47" t="s">
        <v>30</v>
      </c>
      <c r="K253" s="48">
        <v>25</v>
      </c>
      <c r="L253" s="47" t="s">
        <v>30</v>
      </c>
      <c r="M253" s="48" t="s">
        <v>30</v>
      </c>
      <c r="N253" s="48">
        <v>4.53</v>
      </c>
      <c r="O253" s="47">
        <v>2.14</v>
      </c>
      <c r="P253" s="83">
        <v>31.67</v>
      </c>
      <c r="Q253" s="39">
        <v>10145003</v>
      </c>
      <c r="R253" s="46"/>
      <c r="S253" s="46"/>
      <c r="T253" s="46"/>
      <c r="U253" t="str">
        <f>IFERROR(+VLOOKUP(H253,'DISPOSITIVOS ACTIVOS'!B:D,3,FALSE),"IPHONE")</f>
        <v>no aplica</v>
      </c>
      <c r="V253" t="str">
        <f>IFERROR(+VLOOKUP(H253,'[1]Migracion feb25 Ver to ATT'!$B:$G,6,FALSE), "NO MIGRADO")</f>
        <v>NO MIGRADO</v>
      </c>
      <c r="W253" s="26">
        <v>25</v>
      </c>
    </row>
    <row r="254" spans="1:23" x14ac:dyDescent="0.3">
      <c r="A254" t="s">
        <v>1140</v>
      </c>
      <c r="B254" s="46" t="s">
        <v>22</v>
      </c>
      <c r="C254" s="46" t="s">
        <v>1141</v>
      </c>
      <c r="D254" s="46">
        <v>7</v>
      </c>
      <c r="E254" s="46">
        <v>2025</v>
      </c>
      <c r="F254" s="46">
        <v>10</v>
      </c>
      <c r="G254" s="50" t="s">
        <v>226</v>
      </c>
      <c r="H254" s="37" t="s">
        <v>225</v>
      </c>
      <c r="I254" s="50" t="s">
        <v>519</v>
      </c>
      <c r="J254" s="50" t="s">
        <v>30</v>
      </c>
      <c r="K254" s="51">
        <v>25</v>
      </c>
      <c r="L254" s="50" t="s">
        <v>30</v>
      </c>
      <c r="M254" s="51" t="s">
        <v>30</v>
      </c>
      <c r="N254" s="50">
        <v>4.53</v>
      </c>
      <c r="O254" s="50">
        <v>2.14</v>
      </c>
      <c r="P254" s="82">
        <v>31.67</v>
      </c>
      <c r="Q254" s="39">
        <v>10145003</v>
      </c>
      <c r="R254" s="46"/>
      <c r="S254" s="46"/>
      <c r="T254" s="46"/>
      <c r="U254" t="str">
        <f>IFERROR(+VLOOKUP(H254,'DISPOSITIVOS ACTIVOS'!B:D,3,FALSE),"IPHONE")</f>
        <v>no aplica</v>
      </c>
      <c r="V254" t="str">
        <f>IFERROR(+VLOOKUP(H254,'[1]Migracion feb25 Ver to ATT'!$B:$G,6,FALSE), "NO MIGRADO")</f>
        <v>NO MIGRADO</v>
      </c>
      <c r="W254" s="26">
        <v>25</v>
      </c>
    </row>
    <row r="255" spans="1:23" x14ac:dyDescent="0.3">
      <c r="A255" t="s">
        <v>1140</v>
      </c>
      <c r="B255" s="46" t="s">
        <v>22</v>
      </c>
      <c r="C255" s="46" t="s">
        <v>1141</v>
      </c>
      <c r="D255" s="46">
        <v>7</v>
      </c>
      <c r="E255" s="46">
        <v>2025</v>
      </c>
      <c r="F255" s="46">
        <v>10</v>
      </c>
      <c r="G255" s="47" t="s">
        <v>228</v>
      </c>
      <c r="H255" s="36" t="s">
        <v>227</v>
      </c>
      <c r="I255" s="47" t="s">
        <v>520</v>
      </c>
      <c r="J255" s="47" t="s">
        <v>30</v>
      </c>
      <c r="K255" s="48">
        <v>25</v>
      </c>
      <c r="L255" s="47" t="s">
        <v>30</v>
      </c>
      <c r="M255" s="48" t="s">
        <v>30</v>
      </c>
      <c r="N255" s="48">
        <v>4.53</v>
      </c>
      <c r="O255" s="47">
        <v>2.14</v>
      </c>
      <c r="P255" s="83">
        <v>31.67</v>
      </c>
      <c r="Q255" s="39">
        <v>10145003</v>
      </c>
      <c r="R255" s="46"/>
      <c r="S255" s="46"/>
      <c r="T255" s="46"/>
      <c r="U255" t="str">
        <f>IFERROR(+VLOOKUP(H255,'DISPOSITIVOS ACTIVOS'!B:D,3,FALSE),"IPHONE")</f>
        <v>no aplica</v>
      </c>
      <c r="V255" t="str">
        <f>IFERROR(+VLOOKUP(H255,'[1]Migracion feb25 Ver to ATT'!$B:$G,6,FALSE), "NO MIGRADO")</f>
        <v>NO MIGRADO</v>
      </c>
      <c r="W255" s="26">
        <v>25</v>
      </c>
    </row>
    <row r="256" spans="1:23" x14ac:dyDescent="0.3">
      <c r="A256" t="s">
        <v>1140</v>
      </c>
      <c r="B256" s="46" t="s">
        <v>22</v>
      </c>
      <c r="C256" s="46" t="s">
        <v>1141</v>
      </c>
      <c r="D256" s="46">
        <v>7</v>
      </c>
      <c r="E256" s="46">
        <v>2025</v>
      </c>
      <c r="F256" s="46">
        <v>10</v>
      </c>
      <c r="G256" s="50" t="s">
        <v>29</v>
      </c>
      <c r="H256" s="37" t="s">
        <v>31</v>
      </c>
      <c r="I256" s="50" t="s">
        <v>521</v>
      </c>
      <c r="J256" s="50" t="s">
        <v>30</v>
      </c>
      <c r="K256" s="51">
        <v>15</v>
      </c>
      <c r="L256" s="50" t="s">
        <v>30</v>
      </c>
      <c r="M256" s="51" t="s">
        <v>30</v>
      </c>
      <c r="N256" s="50">
        <v>3.75</v>
      </c>
      <c r="O256" s="50" t="s">
        <v>30</v>
      </c>
      <c r="P256" s="82">
        <v>18.75</v>
      </c>
      <c r="Q256" s="39">
        <v>10145003</v>
      </c>
      <c r="R256" s="46"/>
      <c r="S256" s="46"/>
      <c r="T256" s="46"/>
      <c r="U256" t="str">
        <f>IFERROR(+VLOOKUP(H256,'DISPOSITIVOS ACTIVOS'!B:D,3,FALSE),"IPHONE")</f>
        <v>no aplica</v>
      </c>
      <c r="V256" t="str">
        <f>IFERROR(+VLOOKUP(H256,'[1]Migracion feb25 Ver to ATT'!$B:$G,6,FALSE), "NO MIGRADO")</f>
        <v>NO MIGRADO</v>
      </c>
      <c r="W256" s="26">
        <v>25</v>
      </c>
    </row>
    <row r="257" spans="1:23" x14ac:dyDescent="0.3">
      <c r="A257" t="s">
        <v>1140</v>
      </c>
      <c r="B257" s="46" t="s">
        <v>22</v>
      </c>
      <c r="C257" s="46" t="s">
        <v>1141</v>
      </c>
      <c r="D257" s="46">
        <v>7</v>
      </c>
      <c r="E257" s="46">
        <v>2025</v>
      </c>
      <c r="F257" s="46">
        <v>10</v>
      </c>
      <c r="G257" s="47" t="s">
        <v>230</v>
      </c>
      <c r="H257" s="36" t="s">
        <v>229</v>
      </c>
      <c r="I257" s="47" t="s">
        <v>524</v>
      </c>
      <c r="J257" s="47" t="s">
        <v>30</v>
      </c>
      <c r="K257" s="48">
        <v>25</v>
      </c>
      <c r="L257" s="47" t="s">
        <v>30</v>
      </c>
      <c r="M257" s="48" t="s">
        <v>30</v>
      </c>
      <c r="N257" s="48">
        <v>4.53</v>
      </c>
      <c r="O257" s="47">
        <v>2.14</v>
      </c>
      <c r="P257" s="83">
        <v>31.67</v>
      </c>
      <c r="Q257" s="39">
        <v>10145003</v>
      </c>
      <c r="R257" s="46"/>
      <c r="S257" s="46"/>
      <c r="T257" s="46"/>
      <c r="U257" t="str">
        <f>IFERROR(+VLOOKUP(H257,'DISPOSITIVOS ACTIVOS'!B:D,3,FALSE),"IPHONE")</f>
        <v>no aplica</v>
      </c>
      <c r="V257" t="str">
        <f>IFERROR(+VLOOKUP(H257,'[1]Migracion feb25 Ver to ATT'!$B:$G,6,FALSE), "NO MIGRADO")</f>
        <v>NO MIGRADO</v>
      </c>
      <c r="W257" s="26">
        <v>25</v>
      </c>
    </row>
    <row r="258" spans="1:23" x14ac:dyDescent="0.3">
      <c r="A258" t="s">
        <v>1140</v>
      </c>
      <c r="B258" s="46" t="s">
        <v>22</v>
      </c>
      <c r="C258" s="46" t="s">
        <v>1141</v>
      </c>
      <c r="D258" s="46">
        <v>7</v>
      </c>
      <c r="E258" s="46">
        <v>2025</v>
      </c>
      <c r="F258" s="46">
        <v>10</v>
      </c>
      <c r="G258" s="50" t="s">
        <v>29</v>
      </c>
      <c r="H258" s="37" t="s">
        <v>32</v>
      </c>
      <c r="I258" s="50" t="s">
        <v>525</v>
      </c>
      <c r="J258" s="50" t="s">
        <v>30</v>
      </c>
      <c r="K258" s="51">
        <v>15</v>
      </c>
      <c r="L258" s="50" t="s">
        <v>30</v>
      </c>
      <c r="M258" s="51" t="s">
        <v>30</v>
      </c>
      <c r="N258" s="50">
        <v>3.75</v>
      </c>
      <c r="O258" s="50" t="s">
        <v>30</v>
      </c>
      <c r="P258" s="82">
        <v>18.75</v>
      </c>
      <c r="Q258" s="39">
        <v>10145003</v>
      </c>
      <c r="R258" s="46"/>
      <c r="S258" s="46"/>
      <c r="T258" s="46"/>
      <c r="U258" t="str">
        <f>IFERROR(+VLOOKUP(H258,'DISPOSITIVOS ACTIVOS'!B:D,3,FALSE),"IPHONE")</f>
        <v>no aplica</v>
      </c>
      <c r="V258" t="str">
        <f>IFERROR(+VLOOKUP(H258,'[1]Migracion feb25 Ver to ATT'!$B:$G,6,FALSE), "NO MIGRADO")</f>
        <v>NO MIGRADO</v>
      </c>
      <c r="W258" s="26">
        <v>25</v>
      </c>
    </row>
    <row r="259" spans="1:23" x14ac:dyDescent="0.3">
      <c r="A259" t="s">
        <v>1140</v>
      </c>
      <c r="B259" s="46" t="s">
        <v>22</v>
      </c>
      <c r="C259" s="46" t="s">
        <v>1141</v>
      </c>
      <c r="D259" s="46">
        <v>7</v>
      </c>
      <c r="E259" s="46">
        <v>2025</v>
      </c>
      <c r="F259" s="46">
        <v>10</v>
      </c>
      <c r="G259" s="47" t="s">
        <v>1184</v>
      </c>
      <c r="H259" s="36" t="s">
        <v>233</v>
      </c>
      <c r="I259" s="47" t="s">
        <v>1185</v>
      </c>
      <c r="J259" s="47" t="s">
        <v>30</v>
      </c>
      <c r="K259" s="48">
        <v>25</v>
      </c>
      <c r="L259" s="47">
        <v>5</v>
      </c>
      <c r="M259" s="48" t="s">
        <v>30</v>
      </c>
      <c r="N259" s="48">
        <v>4.53</v>
      </c>
      <c r="O259" s="47">
        <v>4.3099999999999996</v>
      </c>
      <c r="P259" s="83">
        <v>38.840000000000003</v>
      </c>
      <c r="Q259" s="39">
        <v>60311005</v>
      </c>
      <c r="R259" s="46" t="s">
        <v>1065</v>
      </c>
      <c r="S259" s="46" t="s">
        <v>1100</v>
      </c>
      <c r="T259" s="46" t="s">
        <v>1117</v>
      </c>
      <c r="U259" t="str">
        <f>IFERROR(+VLOOKUP(H259,'DISPOSITIVOS ACTIVOS'!B:D,3,FALSE),"IPHONE")</f>
        <v>Iphone</v>
      </c>
      <c r="V259" t="str">
        <f>IFERROR(+VLOOKUP(H259,'[1]Migracion feb25 Ver to ATT'!$B:$G,6,FALSE), "NO MIGRADO")</f>
        <v>NO MIGRADO</v>
      </c>
      <c r="W259" s="26">
        <v>25</v>
      </c>
    </row>
    <row r="260" spans="1:23" x14ac:dyDescent="0.3">
      <c r="A260" t="s">
        <v>1140</v>
      </c>
      <c r="B260" s="46" t="s">
        <v>22</v>
      </c>
      <c r="C260" s="46" t="s">
        <v>1141</v>
      </c>
      <c r="D260" s="46">
        <v>7</v>
      </c>
      <c r="E260" s="46">
        <v>2025</v>
      </c>
      <c r="F260" s="46">
        <v>10</v>
      </c>
      <c r="G260" s="50" t="s">
        <v>236</v>
      </c>
      <c r="H260" s="37" t="s">
        <v>235</v>
      </c>
      <c r="I260" s="50" t="s">
        <v>1186</v>
      </c>
      <c r="J260" s="50" t="s">
        <v>30</v>
      </c>
      <c r="K260" s="51">
        <v>50</v>
      </c>
      <c r="L260" s="50" t="s">
        <v>30</v>
      </c>
      <c r="M260" s="51" t="s">
        <v>30</v>
      </c>
      <c r="N260" s="50">
        <v>4.8600000000000003</v>
      </c>
      <c r="O260" s="50">
        <v>2.48</v>
      </c>
      <c r="P260" s="82">
        <v>57.34</v>
      </c>
      <c r="Q260" s="39">
        <v>60311005</v>
      </c>
      <c r="R260" s="46" t="s">
        <v>1065</v>
      </c>
      <c r="S260" s="46" t="s">
        <v>1066</v>
      </c>
      <c r="T260" s="46" t="s">
        <v>1067</v>
      </c>
      <c r="U260" t="str">
        <f>IFERROR(+VLOOKUP(H260,'DISPOSITIVOS ACTIVOS'!B:D,3,FALSE),"IPHONE")</f>
        <v>Iphone</v>
      </c>
      <c r="V260" t="str">
        <f>IFERROR(+VLOOKUP(H260,'[1]Migracion feb25 Ver to ATT'!$B:$G,6,FALSE), "NO MIGRADO")</f>
        <v>Iphone</v>
      </c>
      <c r="W260" s="26">
        <v>15</v>
      </c>
    </row>
    <row r="261" spans="1:23" x14ac:dyDescent="0.3">
      <c r="A261" t="s">
        <v>1140</v>
      </c>
      <c r="B261" s="46" t="s">
        <v>22</v>
      </c>
      <c r="C261" s="46" t="s">
        <v>1141</v>
      </c>
      <c r="D261" s="46">
        <v>7</v>
      </c>
      <c r="E261" s="46">
        <v>2025</v>
      </c>
      <c r="F261" s="46">
        <v>10</v>
      </c>
      <c r="G261" s="47" t="s">
        <v>238</v>
      </c>
      <c r="H261" s="36" t="s">
        <v>237</v>
      </c>
      <c r="I261" s="47" t="s">
        <v>1187</v>
      </c>
      <c r="J261" s="47" t="s">
        <v>30</v>
      </c>
      <c r="K261" s="48">
        <v>15</v>
      </c>
      <c r="L261" s="47" t="s">
        <v>30</v>
      </c>
      <c r="M261" s="48" t="s">
        <v>30</v>
      </c>
      <c r="N261" s="48">
        <v>3.75</v>
      </c>
      <c r="O261" s="47" t="s">
        <v>30</v>
      </c>
      <c r="P261" s="83">
        <v>18.75</v>
      </c>
      <c r="Q261" s="39">
        <v>60311003</v>
      </c>
      <c r="R261" s="46" t="s">
        <v>1065</v>
      </c>
      <c r="S261" s="46" t="s">
        <v>1066</v>
      </c>
      <c r="T261" s="46" t="s">
        <v>1067</v>
      </c>
      <c r="U261" t="str">
        <f>IFERROR(+VLOOKUP(H261,'DISPOSITIVOS ACTIVOS'!B:D,3,FALSE),"IPHONE")</f>
        <v>Ipad</v>
      </c>
      <c r="V261" t="str">
        <f>IFERROR(+VLOOKUP(H261,'[1]Migracion feb25 Ver to ATT'!$B:$G,6,FALSE), "NO MIGRADO")</f>
        <v>NO MIGRADO</v>
      </c>
      <c r="W261" s="26">
        <v>15</v>
      </c>
    </row>
    <row r="262" spans="1:23" x14ac:dyDescent="0.3">
      <c r="A262" t="s">
        <v>1140</v>
      </c>
      <c r="B262" s="46" t="s">
        <v>22</v>
      </c>
      <c r="C262" s="46" t="s">
        <v>1141</v>
      </c>
      <c r="D262" s="46">
        <v>7</v>
      </c>
      <c r="E262" s="46">
        <v>2025</v>
      </c>
      <c r="F262" s="46">
        <v>10</v>
      </c>
      <c r="G262" s="50" t="s">
        <v>1188</v>
      </c>
      <c r="H262" s="37" t="s">
        <v>239</v>
      </c>
      <c r="I262" s="50" t="s">
        <v>1189</v>
      </c>
      <c r="J262" s="50" t="s">
        <v>30</v>
      </c>
      <c r="K262" s="51">
        <v>50</v>
      </c>
      <c r="L262" s="50" t="s">
        <v>30</v>
      </c>
      <c r="M262" s="51" t="s">
        <v>30</v>
      </c>
      <c r="N262" s="50">
        <v>4.8600000000000003</v>
      </c>
      <c r="O262" s="50">
        <v>2.48</v>
      </c>
      <c r="P262" s="82">
        <v>57.34</v>
      </c>
      <c r="Q262" s="39">
        <v>60311005</v>
      </c>
      <c r="R262" s="46" t="s">
        <v>1065</v>
      </c>
      <c r="S262" s="46" t="s">
        <v>1066</v>
      </c>
      <c r="T262" s="46" t="s">
        <v>1122</v>
      </c>
      <c r="U262" t="str">
        <f>IFERROR(+VLOOKUP(H262,'DISPOSITIVOS ACTIVOS'!B:D,3,FALSE),"IPHONE")</f>
        <v>Iphone</v>
      </c>
      <c r="V262" t="str">
        <f>IFERROR(+VLOOKUP(H262,'[1]Migracion feb25 Ver to ATT'!$B:$G,6,FALSE), "NO MIGRADO")</f>
        <v>Iphone</v>
      </c>
      <c r="W262" s="26">
        <v>15</v>
      </c>
    </row>
    <row r="263" spans="1:23" x14ac:dyDescent="0.3">
      <c r="A263" t="s">
        <v>1140</v>
      </c>
      <c r="B263" s="46" t="s">
        <v>22</v>
      </c>
      <c r="C263" s="46" t="s">
        <v>1141</v>
      </c>
      <c r="D263" s="46">
        <v>7</v>
      </c>
      <c r="E263" s="46">
        <v>2025</v>
      </c>
      <c r="F263" s="46">
        <v>10</v>
      </c>
      <c r="G263" s="47" t="s">
        <v>242</v>
      </c>
      <c r="H263" s="36" t="s">
        <v>241</v>
      </c>
      <c r="I263" s="47" t="s">
        <v>1190</v>
      </c>
      <c r="J263" s="47" t="s">
        <v>30</v>
      </c>
      <c r="K263" s="48">
        <v>25</v>
      </c>
      <c r="L263" s="47" t="s">
        <v>30</v>
      </c>
      <c r="M263" s="48" t="s">
        <v>30</v>
      </c>
      <c r="N263" s="48">
        <v>4.53</v>
      </c>
      <c r="O263" s="47">
        <v>4.3099999999999996</v>
      </c>
      <c r="P263" s="83">
        <v>33.840000000000003</v>
      </c>
      <c r="Q263" s="39">
        <v>60311005</v>
      </c>
      <c r="R263" s="46" t="s">
        <v>1079</v>
      </c>
      <c r="S263" s="46" t="s">
        <v>1080</v>
      </c>
      <c r="T263" s="46" t="s">
        <v>1104</v>
      </c>
      <c r="U263" t="str">
        <f>IFERROR(+VLOOKUP(H263,'DISPOSITIVOS ACTIVOS'!B:D,3,FALSE),"IPHONE")</f>
        <v>Galaxy</v>
      </c>
      <c r="V263" t="str">
        <f>IFERROR(+VLOOKUP(H263,'[1]Migracion feb25 Ver to ATT'!$B:$G,6,FALSE), "NO MIGRADO")</f>
        <v>NO MIGRADO</v>
      </c>
      <c r="W263" s="26">
        <v>25</v>
      </c>
    </row>
    <row r="264" spans="1:23" x14ac:dyDescent="0.3">
      <c r="A264" t="s">
        <v>1140</v>
      </c>
      <c r="B264" s="46" t="s">
        <v>22</v>
      </c>
      <c r="C264" s="46" t="s">
        <v>1141</v>
      </c>
      <c r="D264" s="46">
        <v>7</v>
      </c>
      <c r="E264" s="46">
        <v>2025</v>
      </c>
      <c r="F264" s="46">
        <v>10</v>
      </c>
      <c r="G264" s="50" t="s">
        <v>244</v>
      </c>
      <c r="H264" s="37" t="s">
        <v>243</v>
      </c>
      <c r="I264" s="50" t="s">
        <v>1191</v>
      </c>
      <c r="J264" s="50" t="s">
        <v>30</v>
      </c>
      <c r="K264" s="51">
        <v>50</v>
      </c>
      <c r="L264" s="50" t="s">
        <v>30</v>
      </c>
      <c r="M264" s="51" t="s">
        <v>30</v>
      </c>
      <c r="N264" s="50">
        <v>4.8600000000000003</v>
      </c>
      <c r="O264" s="50">
        <v>2.48</v>
      </c>
      <c r="P264" s="82">
        <v>57.34</v>
      </c>
      <c r="Q264" s="39">
        <v>60311005</v>
      </c>
      <c r="R264" s="46" t="s">
        <v>1079</v>
      </c>
      <c r="S264" s="46" t="s">
        <v>1080</v>
      </c>
      <c r="T264" s="46" t="s">
        <v>1097</v>
      </c>
      <c r="U264" t="str">
        <f>IFERROR(+VLOOKUP(H264,'DISPOSITIVOS ACTIVOS'!B:D,3,FALSE),"IPHONE")</f>
        <v xml:space="preserve">Galaxy </v>
      </c>
      <c r="V264" t="str">
        <f>IFERROR(+VLOOKUP(H264,'[1]Migracion feb25 Ver to ATT'!$B:$G,6,FALSE), "NO MIGRADO")</f>
        <v xml:space="preserve">Galaxy </v>
      </c>
      <c r="W264" s="26">
        <v>15</v>
      </c>
    </row>
    <row r="265" spans="1:23" x14ac:dyDescent="0.3">
      <c r="A265" t="s">
        <v>1140</v>
      </c>
      <c r="B265" s="46" t="s">
        <v>22</v>
      </c>
      <c r="C265" s="46" t="s">
        <v>1141</v>
      </c>
      <c r="D265" s="46">
        <v>7</v>
      </c>
      <c r="E265" s="46">
        <v>2025</v>
      </c>
      <c r="F265" s="46">
        <v>10</v>
      </c>
      <c r="G265" s="99" t="s">
        <v>246</v>
      </c>
      <c r="H265" s="36" t="s">
        <v>245</v>
      </c>
      <c r="I265" s="47" t="s">
        <v>1192</v>
      </c>
      <c r="J265" s="47" t="s">
        <v>30</v>
      </c>
      <c r="K265" s="48"/>
      <c r="L265" s="47">
        <v>5</v>
      </c>
      <c r="M265" s="48" t="s">
        <v>30</v>
      </c>
      <c r="N265" s="48" t="s">
        <v>30</v>
      </c>
      <c r="O265" s="47" t="s">
        <v>30</v>
      </c>
      <c r="P265" s="83">
        <v>5</v>
      </c>
      <c r="Q265" s="39">
        <v>60311005</v>
      </c>
      <c r="R265" s="46" t="s">
        <v>1065</v>
      </c>
      <c r="S265" s="46" t="s">
        <v>1066</v>
      </c>
      <c r="T265" s="46" t="s">
        <v>1067</v>
      </c>
      <c r="U265" t="str">
        <f>IFERROR(+VLOOKUP(H265,'DISPOSITIVOS ACTIVOS'!B:D,3,FALSE),"IPHONE")</f>
        <v>IPHONE</v>
      </c>
      <c r="V265" t="str">
        <f>IFERROR(+VLOOKUP(H265,'[1]Migracion feb25 Ver to ATT'!$B:$G,6,FALSE), "NO MIGRADO")</f>
        <v>NO MIGRADO</v>
      </c>
      <c r="W265" s="26">
        <v>25</v>
      </c>
    </row>
    <row r="266" spans="1:23" x14ac:dyDescent="0.3">
      <c r="A266" t="s">
        <v>1140</v>
      </c>
      <c r="B266" s="46" t="s">
        <v>22</v>
      </c>
      <c r="C266" s="46" t="s">
        <v>1141</v>
      </c>
      <c r="D266" s="46">
        <v>7</v>
      </c>
      <c r="E266" s="46">
        <v>2025</v>
      </c>
      <c r="F266" s="46">
        <v>10</v>
      </c>
      <c r="G266" s="50" t="s">
        <v>34</v>
      </c>
      <c r="H266" s="37" t="s">
        <v>33</v>
      </c>
      <c r="I266" s="50" t="s">
        <v>1193</v>
      </c>
      <c r="J266" s="50" t="s">
        <v>30</v>
      </c>
      <c r="K266" s="51">
        <v>25</v>
      </c>
      <c r="L266" s="50">
        <v>-0.79</v>
      </c>
      <c r="M266" s="51" t="s">
        <v>30</v>
      </c>
      <c r="N266" s="50">
        <v>4.53</v>
      </c>
      <c r="O266" s="50">
        <v>4.3099999999999996</v>
      </c>
      <c r="P266" s="82">
        <v>33.049999999999997</v>
      </c>
      <c r="Q266" s="39">
        <v>60311005</v>
      </c>
      <c r="R266" s="46" t="s">
        <v>1065</v>
      </c>
      <c r="S266" s="46" t="s">
        <v>1066</v>
      </c>
      <c r="T266" s="46" t="s">
        <v>1085</v>
      </c>
      <c r="U266" t="str">
        <f>IFERROR(+VLOOKUP(H266,'DISPOSITIVOS ACTIVOS'!B:D,3,FALSE),"IPHONE")</f>
        <v>Iphone</v>
      </c>
      <c r="V266" t="str">
        <f>IFERROR(+VLOOKUP(H266,'[1]Migracion feb25 Ver to ATT'!$B:$G,6,FALSE), "NO MIGRADO")</f>
        <v>NO MIGRADO</v>
      </c>
      <c r="W266" s="26">
        <v>25</v>
      </c>
    </row>
    <row r="267" spans="1:23" x14ac:dyDescent="0.3">
      <c r="A267" t="s">
        <v>1140</v>
      </c>
      <c r="B267" s="46" t="s">
        <v>22</v>
      </c>
      <c r="C267" s="46" t="s">
        <v>1141</v>
      </c>
      <c r="D267" s="46">
        <v>7</v>
      </c>
      <c r="E267" s="46">
        <v>2025</v>
      </c>
      <c r="F267" s="46">
        <v>10</v>
      </c>
      <c r="G267" s="47" t="s">
        <v>1194</v>
      </c>
      <c r="H267" s="36" t="s">
        <v>53</v>
      </c>
      <c r="I267" s="47" t="s">
        <v>1195</v>
      </c>
      <c r="J267" s="47" t="s">
        <v>30</v>
      </c>
      <c r="K267" s="48">
        <v>15</v>
      </c>
      <c r="L267" s="47" t="s">
        <v>30</v>
      </c>
      <c r="M267" s="48" t="s">
        <v>30</v>
      </c>
      <c r="N267" s="48">
        <v>3.75</v>
      </c>
      <c r="O267" s="47" t="s">
        <v>30</v>
      </c>
      <c r="P267" s="83">
        <v>18.75</v>
      </c>
      <c r="Q267" s="39">
        <v>60311003</v>
      </c>
      <c r="R267" s="46" t="s">
        <v>1065</v>
      </c>
      <c r="S267" s="46" t="s">
        <v>1066</v>
      </c>
      <c r="T267" s="46" t="s">
        <v>1085</v>
      </c>
      <c r="U267" t="str">
        <f>IFERROR(+VLOOKUP(H267,'DISPOSITIVOS ACTIVOS'!B:D,3,FALSE),"IPHONE")</f>
        <v>Ipad</v>
      </c>
      <c r="V267" t="str">
        <f>IFERROR(+VLOOKUP(H267,'[1]Migracion feb25 Ver to ATT'!$B:$G,6,FALSE), "NO MIGRADO")</f>
        <v>NO MIGRADO</v>
      </c>
      <c r="W267" s="26">
        <v>15</v>
      </c>
    </row>
    <row r="268" spans="1:23" x14ac:dyDescent="0.3">
      <c r="A268" t="s">
        <v>1140</v>
      </c>
      <c r="B268" s="46" t="s">
        <v>22</v>
      </c>
      <c r="C268" s="46" t="s">
        <v>1141</v>
      </c>
      <c r="D268" s="46">
        <v>7</v>
      </c>
      <c r="E268" s="46">
        <v>2025</v>
      </c>
      <c r="F268" s="46">
        <v>10</v>
      </c>
      <c r="G268" s="50" t="s">
        <v>1196</v>
      </c>
      <c r="H268" s="37" t="s">
        <v>247</v>
      </c>
      <c r="I268" s="50" t="s">
        <v>1197</v>
      </c>
      <c r="J268" s="50" t="s">
        <v>30</v>
      </c>
      <c r="K268" s="51">
        <v>50</v>
      </c>
      <c r="L268" s="50" t="s">
        <v>30</v>
      </c>
      <c r="M268" s="51" t="s">
        <v>30</v>
      </c>
      <c r="N268" s="50">
        <v>4.8600000000000003</v>
      </c>
      <c r="O268" s="50">
        <v>2.48</v>
      </c>
      <c r="P268" s="82">
        <v>57.34</v>
      </c>
      <c r="Q268" s="39">
        <v>60311005</v>
      </c>
      <c r="R268" s="46" t="s">
        <v>1079</v>
      </c>
      <c r="S268" s="46" t="s">
        <v>1080</v>
      </c>
      <c r="T268" s="46" t="s">
        <v>1081</v>
      </c>
      <c r="U268" t="str">
        <f>IFERROR(+VLOOKUP(H268,'DISPOSITIVOS ACTIVOS'!B:D,3,FALSE),"IPHONE")</f>
        <v xml:space="preserve">Galaxy </v>
      </c>
      <c r="V268" t="str">
        <f>IFERROR(+VLOOKUP(H268,'[1]Migracion feb25 Ver to ATT'!$B:$G,6,FALSE), "NO MIGRADO")</f>
        <v xml:space="preserve">Galaxy </v>
      </c>
      <c r="W268" s="26">
        <v>15</v>
      </c>
    </row>
    <row r="269" spans="1:23" x14ac:dyDescent="0.3">
      <c r="A269" t="s">
        <v>1140</v>
      </c>
      <c r="B269" s="46" t="s">
        <v>22</v>
      </c>
      <c r="C269" s="46" t="s">
        <v>1141</v>
      </c>
      <c r="D269" s="46">
        <v>7</v>
      </c>
      <c r="E269" s="46">
        <v>2025</v>
      </c>
      <c r="F269" s="46">
        <v>10</v>
      </c>
      <c r="G269" s="47" t="s">
        <v>1198</v>
      </c>
      <c r="H269" s="36" t="s">
        <v>249</v>
      </c>
      <c r="I269" s="47" t="s">
        <v>1199</v>
      </c>
      <c r="J269" s="47" t="s">
        <v>30</v>
      </c>
      <c r="K269" s="48">
        <v>25</v>
      </c>
      <c r="L269" s="47" t="s">
        <v>30</v>
      </c>
      <c r="M269" s="48" t="s">
        <v>30</v>
      </c>
      <c r="N269" s="48">
        <v>4.53</v>
      </c>
      <c r="O269" s="47">
        <v>4.3099999999999996</v>
      </c>
      <c r="P269" s="83">
        <v>33.840000000000003</v>
      </c>
      <c r="Q269" s="39">
        <v>60311005</v>
      </c>
      <c r="R269" s="46" t="s">
        <v>1065</v>
      </c>
      <c r="S269" s="46" t="s">
        <v>1066</v>
      </c>
      <c r="T269" s="46" t="s">
        <v>1084</v>
      </c>
      <c r="U269" t="str">
        <f>IFERROR(+VLOOKUP(H269,'DISPOSITIVOS ACTIVOS'!B:D,3,FALSE),"IPHONE")</f>
        <v>Iphone</v>
      </c>
      <c r="V269" t="str">
        <f>IFERROR(+VLOOKUP(H269,'[1]Migracion feb25 Ver to ATT'!$B:$G,6,FALSE), "NO MIGRADO")</f>
        <v>NO MIGRADO</v>
      </c>
      <c r="W269" s="26">
        <v>25</v>
      </c>
    </row>
    <row r="270" spans="1:23" x14ac:dyDescent="0.3">
      <c r="A270" t="s">
        <v>1140</v>
      </c>
      <c r="B270" s="46" t="s">
        <v>22</v>
      </c>
      <c r="C270" s="46" t="s">
        <v>1141</v>
      </c>
      <c r="D270" s="46">
        <v>7</v>
      </c>
      <c r="E270" s="46">
        <v>2025</v>
      </c>
      <c r="F270" s="46">
        <v>10</v>
      </c>
      <c r="G270" s="50" t="s">
        <v>252</v>
      </c>
      <c r="H270" s="37" t="s">
        <v>251</v>
      </c>
      <c r="I270" s="50" t="s">
        <v>1200</v>
      </c>
      <c r="J270" s="50" t="s">
        <v>30</v>
      </c>
      <c r="K270" s="51">
        <v>50</v>
      </c>
      <c r="L270" s="50" t="s">
        <v>30</v>
      </c>
      <c r="M270" s="51" t="s">
        <v>30</v>
      </c>
      <c r="N270" s="50">
        <v>4.8600000000000003</v>
      </c>
      <c r="O270" s="50">
        <v>2.48</v>
      </c>
      <c r="P270" s="82">
        <v>57.34</v>
      </c>
      <c r="Q270" s="39">
        <v>60311005</v>
      </c>
      <c r="R270" s="46" t="s">
        <v>1079</v>
      </c>
      <c r="S270" s="46" t="s">
        <v>1080</v>
      </c>
      <c r="T270" s="46" t="s">
        <v>1134</v>
      </c>
      <c r="U270" t="str">
        <f>IFERROR(+VLOOKUP(H270,'DISPOSITIVOS ACTIVOS'!B:D,3,FALSE),"IPHONE")</f>
        <v xml:space="preserve">Galaxy </v>
      </c>
      <c r="V270" t="str">
        <f>IFERROR(+VLOOKUP(H270,'[1]Migracion feb25 Ver to ATT'!$B:$G,6,FALSE), "NO MIGRADO")</f>
        <v xml:space="preserve">Galaxy </v>
      </c>
      <c r="W270" s="26">
        <v>15</v>
      </c>
    </row>
    <row r="271" spans="1:23" x14ac:dyDescent="0.3">
      <c r="A271" t="s">
        <v>1140</v>
      </c>
      <c r="B271" s="46" t="s">
        <v>22</v>
      </c>
      <c r="C271" s="46" t="s">
        <v>1141</v>
      </c>
      <c r="D271" s="46">
        <v>7</v>
      </c>
      <c r="E271" s="46">
        <v>2025</v>
      </c>
      <c r="F271" s="46">
        <v>10</v>
      </c>
      <c r="G271" s="47" t="s">
        <v>254</v>
      </c>
      <c r="H271" s="36" t="s">
        <v>253</v>
      </c>
      <c r="I271" s="47" t="s">
        <v>1201</v>
      </c>
      <c r="J271" s="47" t="s">
        <v>30</v>
      </c>
      <c r="K271" s="48">
        <v>50</v>
      </c>
      <c r="L271" s="47" t="s">
        <v>30</v>
      </c>
      <c r="M271" s="48" t="s">
        <v>30</v>
      </c>
      <c r="N271" s="48">
        <v>4.8600000000000003</v>
      </c>
      <c r="O271" s="47">
        <v>2.48</v>
      </c>
      <c r="P271" s="83">
        <v>57.34</v>
      </c>
      <c r="Q271" s="39">
        <v>60311005</v>
      </c>
      <c r="R271" s="46" t="s">
        <v>1079</v>
      </c>
      <c r="S271" s="46" t="s">
        <v>1080</v>
      </c>
      <c r="T271" s="46" t="s">
        <v>1097</v>
      </c>
      <c r="U271" t="str">
        <f>IFERROR(+VLOOKUP(H271,'DISPOSITIVOS ACTIVOS'!B:D,3,FALSE),"IPHONE")</f>
        <v xml:space="preserve">Galaxy </v>
      </c>
      <c r="V271" t="str">
        <f>IFERROR(+VLOOKUP(H271,'[1]Migracion feb25 Ver to ATT'!$B:$G,6,FALSE), "NO MIGRADO")</f>
        <v xml:space="preserve">Galaxy </v>
      </c>
      <c r="W271" s="26">
        <v>15</v>
      </c>
    </row>
    <row r="272" spans="1:23" x14ac:dyDescent="0.3">
      <c r="A272" t="s">
        <v>1140</v>
      </c>
      <c r="B272" s="46" t="s">
        <v>22</v>
      </c>
      <c r="C272" s="46" t="s">
        <v>1141</v>
      </c>
      <c r="D272" s="46">
        <v>7</v>
      </c>
      <c r="E272" s="46">
        <v>2025</v>
      </c>
      <c r="F272" s="46">
        <v>10</v>
      </c>
      <c r="G272" s="50" t="s">
        <v>1202</v>
      </c>
      <c r="H272" s="37" t="s">
        <v>255</v>
      </c>
      <c r="I272" s="50" t="s">
        <v>1203</v>
      </c>
      <c r="J272" s="50" t="s">
        <v>30</v>
      </c>
      <c r="K272" s="51">
        <v>25</v>
      </c>
      <c r="L272" s="50">
        <v>5.99</v>
      </c>
      <c r="M272" s="51" t="s">
        <v>30</v>
      </c>
      <c r="N272" s="50">
        <v>4.53</v>
      </c>
      <c r="O272" s="50">
        <v>4.3099999999999996</v>
      </c>
      <c r="P272" s="82">
        <v>39.83</v>
      </c>
      <c r="Q272" s="39">
        <v>60311005</v>
      </c>
      <c r="R272" s="46" t="s">
        <v>1065</v>
      </c>
      <c r="S272" s="46" t="s">
        <v>1066</v>
      </c>
      <c r="T272" s="46" t="s">
        <v>1084</v>
      </c>
      <c r="U272" t="str">
        <f>IFERROR(+VLOOKUP(H272,'DISPOSITIVOS ACTIVOS'!B:D,3,FALSE),"IPHONE")</f>
        <v>Iphone</v>
      </c>
      <c r="V272" t="str">
        <f>IFERROR(+VLOOKUP(H272,'[1]Migracion feb25 Ver to ATT'!$B:$G,6,FALSE), "NO MIGRADO")</f>
        <v>NO MIGRADO</v>
      </c>
      <c r="W272" s="26">
        <v>25</v>
      </c>
    </row>
    <row r="273" spans="1:23" x14ac:dyDescent="0.3">
      <c r="A273" s="91" t="s">
        <v>1140</v>
      </c>
      <c r="B273" s="92" t="s">
        <v>22</v>
      </c>
      <c r="C273" s="92" t="s">
        <v>1141</v>
      </c>
      <c r="D273" s="92">
        <v>7</v>
      </c>
      <c r="E273" s="92">
        <v>2025</v>
      </c>
      <c r="F273" s="92">
        <v>10</v>
      </c>
      <c r="G273" s="101" t="s">
        <v>1204</v>
      </c>
      <c r="H273" s="102" t="s">
        <v>257</v>
      </c>
      <c r="I273" s="101" t="s">
        <v>1205</v>
      </c>
      <c r="J273" s="101">
        <v>-35</v>
      </c>
      <c r="K273" s="103">
        <v>50</v>
      </c>
      <c r="L273" s="101" t="s">
        <v>30</v>
      </c>
      <c r="M273" s="103" t="s">
        <v>30</v>
      </c>
      <c r="N273" s="103">
        <v>4.2300000000000004</v>
      </c>
      <c r="O273" s="101">
        <v>1.92</v>
      </c>
      <c r="P273" s="104">
        <v>21.15</v>
      </c>
      <c r="Q273" s="97">
        <v>60311005</v>
      </c>
      <c r="R273" s="92" t="s">
        <v>1065</v>
      </c>
      <c r="S273" s="92" t="s">
        <v>1100</v>
      </c>
      <c r="T273" s="92" t="s">
        <v>1139</v>
      </c>
      <c r="U273" t="str">
        <f>IFERROR(+VLOOKUP(H273,'DISPOSITIVOS ACTIVOS'!B:D,3,FALSE),"IPHONE")</f>
        <v>Iphone</v>
      </c>
      <c r="V273" t="str">
        <f>IFERROR(+VLOOKUP(H273,'[1]Migracion feb25 Ver to ATT'!$B:$G,6,FALSE), "NO MIGRADO")</f>
        <v>Iphone</v>
      </c>
      <c r="W273" s="26">
        <v>15</v>
      </c>
    </row>
    <row r="274" spans="1:23" x14ac:dyDescent="0.3">
      <c r="A274" s="39" t="s">
        <v>1206</v>
      </c>
      <c r="B274" s="46" t="s">
        <v>22</v>
      </c>
      <c r="C274" s="105">
        <v>45826</v>
      </c>
      <c r="D274" s="46">
        <v>6</v>
      </c>
      <c r="E274" s="46">
        <v>2025</v>
      </c>
      <c r="F274" s="46">
        <v>9</v>
      </c>
      <c r="G274" s="106" t="s">
        <v>66</v>
      </c>
      <c r="H274" s="107" t="s">
        <v>65</v>
      </c>
      <c r="I274" s="108" t="s">
        <v>1207</v>
      </c>
      <c r="J274" s="26">
        <v>0</v>
      </c>
      <c r="K274" s="26">
        <v>0</v>
      </c>
      <c r="L274" s="26">
        <v>0</v>
      </c>
      <c r="M274" s="26">
        <v>0</v>
      </c>
      <c r="N274" s="26">
        <v>0</v>
      </c>
      <c r="O274" s="26">
        <v>0</v>
      </c>
      <c r="P274" s="83">
        <v>-96.67</v>
      </c>
      <c r="Q274" s="39">
        <v>60311005</v>
      </c>
      <c r="R274" s="46" t="s">
        <v>1065</v>
      </c>
      <c r="S274" s="46" t="s">
        <v>1066</v>
      </c>
      <c r="T274" s="46" t="s">
        <v>1071</v>
      </c>
      <c r="U274" t="str">
        <f>IFERROR(+VLOOKUP(H274,'DISPOSITIVOS ACTIVOS'!B:D,3,FALSE),"IPHONE")</f>
        <v>Iphone</v>
      </c>
      <c r="V274" t="str">
        <f>IFERROR(+VLOOKUP(H274,'[1]Migracion feb25 Ver to ATT'!$B:$G,6,FALSE), "NO MIGRADO")</f>
        <v>Iphone</v>
      </c>
      <c r="W274" s="26">
        <v>15</v>
      </c>
    </row>
    <row r="275" spans="1:23" x14ac:dyDescent="0.3">
      <c r="A275" s="39" t="s">
        <v>1206</v>
      </c>
      <c r="B275" s="46" t="s">
        <v>22</v>
      </c>
      <c r="C275" s="109">
        <v>45826</v>
      </c>
      <c r="D275" s="46">
        <v>6</v>
      </c>
      <c r="E275" s="46">
        <v>2025</v>
      </c>
      <c r="F275" s="46">
        <v>9</v>
      </c>
      <c r="G275" s="47" t="s">
        <v>68</v>
      </c>
      <c r="H275" s="110" t="s">
        <v>67</v>
      </c>
      <c r="I275" s="111" t="s">
        <v>1208</v>
      </c>
      <c r="J275" s="26">
        <v>0</v>
      </c>
      <c r="K275" s="26">
        <v>0</v>
      </c>
      <c r="L275" s="26">
        <v>0</v>
      </c>
      <c r="M275" s="26">
        <v>0</v>
      </c>
      <c r="N275" s="26">
        <v>0</v>
      </c>
      <c r="O275" s="26">
        <v>0</v>
      </c>
      <c r="P275" s="83">
        <v>-98.67</v>
      </c>
      <c r="Q275" s="39">
        <v>60311005</v>
      </c>
      <c r="R275" s="46" t="s">
        <v>1065</v>
      </c>
      <c r="S275" s="46" t="s">
        <v>1066</v>
      </c>
      <c r="T275" s="46" t="s">
        <v>1071</v>
      </c>
      <c r="U275" t="str">
        <f>IFERROR(+VLOOKUP(H275,'DISPOSITIVOS ACTIVOS'!B:D,3,FALSE),"IPHONE")</f>
        <v>Iphone</v>
      </c>
      <c r="V275" t="str">
        <f>IFERROR(+VLOOKUP(H275,'[1]Migracion feb25 Ver to ATT'!$B:$G,6,FALSE), "NO MIGRADO")</f>
        <v>Iphone</v>
      </c>
      <c r="W275" s="26">
        <v>15</v>
      </c>
    </row>
    <row r="276" spans="1:23" x14ac:dyDescent="0.3">
      <c r="A276" s="39" t="s">
        <v>1206</v>
      </c>
      <c r="B276" s="46" t="s">
        <v>22</v>
      </c>
      <c r="C276" s="112">
        <v>45826</v>
      </c>
      <c r="D276" s="46">
        <v>6</v>
      </c>
      <c r="E276" s="46">
        <v>2025</v>
      </c>
      <c r="F276" s="46">
        <v>9</v>
      </c>
      <c r="G276" s="50" t="s">
        <v>301</v>
      </c>
      <c r="H276" s="113" t="s">
        <v>300</v>
      </c>
      <c r="I276" s="108" t="s">
        <v>1209</v>
      </c>
      <c r="J276" s="26">
        <v>0</v>
      </c>
      <c r="K276" s="26">
        <v>0</v>
      </c>
      <c r="L276" s="26">
        <v>0</v>
      </c>
      <c r="M276" s="26">
        <v>0</v>
      </c>
      <c r="N276" s="26">
        <v>0</v>
      </c>
      <c r="O276" s="26">
        <v>0</v>
      </c>
      <c r="P276" s="83">
        <v>-67.55</v>
      </c>
      <c r="Q276" s="39">
        <v>60311005</v>
      </c>
      <c r="R276" s="46" t="s">
        <v>1065</v>
      </c>
      <c r="S276" s="46" t="s">
        <v>1066</v>
      </c>
      <c r="T276" s="46" t="s">
        <v>1067</v>
      </c>
      <c r="U276">
        <f>IFERROR(+VLOOKUP(H276,'DISPOSITIVOS ACTIVOS'!B:D,3,FALSE),"IPHONE")</f>
        <v>0</v>
      </c>
      <c r="V276" t="str">
        <f>IFERROR(+VLOOKUP(H276,'[1]Migracion feb25 Ver to ATT'!$B:$G,6,FALSE), "NO MIGRADO")</f>
        <v>NO MIGRADO</v>
      </c>
      <c r="W276" s="26">
        <v>25</v>
      </c>
    </row>
    <row r="277" spans="1:23" x14ac:dyDescent="0.3">
      <c r="A277" s="39" t="s">
        <v>1206</v>
      </c>
      <c r="B277" s="46" t="s">
        <v>22</v>
      </c>
      <c r="C277" s="109">
        <v>45826</v>
      </c>
      <c r="D277" s="46">
        <v>6</v>
      </c>
      <c r="E277" s="46">
        <v>2025</v>
      </c>
      <c r="F277" s="46">
        <v>9</v>
      </c>
      <c r="G277" s="100" t="s">
        <v>1075</v>
      </c>
      <c r="H277" s="110" t="s">
        <v>883</v>
      </c>
      <c r="I277" s="111" t="s">
        <v>1210</v>
      </c>
      <c r="J277" s="26">
        <v>0</v>
      </c>
      <c r="K277" s="26">
        <v>0</v>
      </c>
      <c r="L277" s="26">
        <v>0</v>
      </c>
      <c r="M277" s="26">
        <v>0</v>
      </c>
      <c r="N277" s="26">
        <v>0</v>
      </c>
      <c r="O277" s="26">
        <v>0</v>
      </c>
      <c r="P277" s="83">
        <v>-47</v>
      </c>
      <c r="Q277" s="86">
        <v>60311005</v>
      </c>
      <c r="R277" s="46" t="s">
        <v>1079</v>
      </c>
      <c r="S277" s="46" t="s">
        <v>1080</v>
      </c>
      <c r="T277" s="46" t="s">
        <v>1081</v>
      </c>
      <c r="U277" t="str">
        <f>IFERROR(+VLOOKUP(H277,'DISPOSITIVOS ACTIVOS'!B:D,3,FALSE),"IPHONE")</f>
        <v>Samsung</v>
      </c>
      <c r="V277" t="str">
        <f>IFERROR(+VLOOKUP(H277,'[1]Migracion feb25 Ver to ATT'!$B:$G,6,FALSE), "NO MIGRADO")</f>
        <v>NO MIGRADO</v>
      </c>
      <c r="W277" s="26">
        <v>25</v>
      </c>
    </row>
    <row r="278" spans="1:23" x14ac:dyDescent="0.3">
      <c r="A278" s="39" t="s">
        <v>1206</v>
      </c>
      <c r="B278" s="46" t="s">
        <v>22</v>
      </c>
      <c r="C278" s="112">
        <v>45826</v>
      </c>
      <c r="D278" s="46">
        <v>6</v>
      </c>
      <c r="E278" s="46">
        <v>2025</v>
      </c>
      <c r="F278" s="46">
        <v>9</v>
      </c>
      <c r="G278" s="114" t="s">
        <v>1082</v>
      </c>
      <c r="H278" s="110" t="s">
        <v>878</v>
      </c>
      <c r="I278" s="108" t="s">
        <v>1211</v>
      </c>
      <c r="J278" s="26">
        <v>0</v>
      </c>
      <c r="K278" s="26">
        <v>0</v>
      </c>
      <c r="L278" s="26">
        <v>0</v>
      </c>
      <c r="M278" s="26">
        <v>0</v>
      </c>
      <c r="N278" s="26">
        <v>0</v>
      </c>
      <c r="O278" s="26">
        <v>0</v>
      </c>
      <c r="P278" s="83">
        <v>-47</v>
      </c>
      <c r="Q278" s="86">
        <v>60311005</v>
      </c>
      <c r="R278" s="46" t="s">
        <v>1079</v>
      </c>
      <c r="S278" s="46" t="s">
        <v>1080</v>
      </c>
      <c r="T278" s="46" t="s">
        <v>1081</v>
      </c>
      <c r="U278" t="str">
        <f>IFERROR(+VLOOKUP(H278,'DISPOSITIVOS ACTIVOS'!B:D,3,FALSE),"IPHONE")</f>
        <v>Samsung</v>
      </c>
      <c r="V278" t="str">
        <f>IFERROR(+VLOOKUP(H278,'[1]Migracion feb25 Ver to ATT'!$B:$G,6,FALSE), "NO MIGRADO")</f>
        <v>NO MIGRADO</v>
      </c>
      <c r="W278" s="26">
        <v>25</v>
      </c>
    </row>
    <row r="279" spans="1:23" x14ac:dyDescent="0.3">
      <c r="A279" s="39" t="s">
        <v>1206</v>
      </c>
      <c r="B279" s="46" t="s">
        <v>22</v>
      </c>
      <c r="C279" s="109">
        <v>45826</v>
      </c>
      <c r="D279" s="46">
        <v>6</v>
      </c>
      <c r="E279" s="46">
        <v>2025</v>
      </c>
      <c r="F279" s="46">
        <v>9</v>
      </c>
      <c r="G279" s="50" t="s">
        <v>74</v>
      </c>
      <c r="H279" s="110" t="s">
        <v>73</v>
      </c>
      <c r="I279" s="111" t="s">
        <v>1212</v>
      </c>
      <c r="J279" s="26">
        <v>0</v>
      </c>
      <c r="K279" s="26">
        <v>0</v>
      </c>
      <c r="L279" s="26">
        <v>0</v>
      </c>
      <c r="M279" s="26">
        <v>0</v>
      </c>
      <c r="N279" s="26">
        <v>0</v>
      </c>
      <c r="O279" s="26">
        <v>0</v>
      </c>
      <c r="P279" s="83">
        <v>-98.67</v>
      </c>
      <c r="Q279" s="39">
        <v>60311005</v>
      </c>
      <c r="R279" s="46" t="s">
        <v>1065</v>
      </c>
      <c r="S279" s="46" t="s">
        <v>1066</v>
      </c>
      <c r="T279" s="46" t="s">
        <v>1084</v>
      </c>
      <c r="U279" t="str">
        <f>IFERROR(+VLOOKUP(H279,'DISPOSITIVOS ACTIVOS'!B:D,3,FALSE),"IPHONE")</f>
        <v>Iphone</v>
      </c>
      <c r="V279" t="str">
        <f>IFERROR(+VLOOKUP(H279,'[1]Migracion feb25 Ver to ATT'!$B:$G,6,FALSE), "NO MIGRADO")</f>
        <v>Iphone</v>
      </c>
      <c r="W279" s="26">
        <v>15</v>
      </c>
    </row>
    <row r="280" spans="1:23" x14ac:dyDescent="0.3">
      <c r="A280" s="39" t="s">
        <v>1206</v>
      </c>
      <c r="B280" s="46" t="s">
        <v>22</v>
      </c>
      <c r="C280" s="112">
        <v>45826</v>
      </c>
      <c r="D280" s="46">
        <v>6</v>
      </c>
      <c r="E280" s="46">
        <v>2025</v>
      </c>
      <c r="F280" s="46">
        <v>9</v>
      </c>
      <c r="G280" s="47" t="s">
        <v>76</v>
      </c>
      <c r="H280" s="113" t="s">
        <v>75</v>
      </c>
      <c r="I280" s="108" t="s">
        <v>1213</v>
      </c>
      <c r="J280" s="26">
        <v>0</v>
      </c>
      <c r="K280" s="26">
        <v>0</v>
      </c>
      <c r="L280" s="26">
        <v>0</v>
      </c>
      <c r="M280" s="26">
        <v>0</v>
      </c>
      <c r="N280" s="26">
        <v>0</v>
      </c>
      <c r="O280" s="26">
        <v>0</v>
      </c>
      <c r="P280" s="83">
        <v>-96.67</v>
      </c>
      <c r="Q280" s="39">
        <v>60311005</v>
      </c>
      <c r="R280" s="46" t="s">
        <v>1065</v>
      </c>
      <c r="S280" s="46" t="s">
        <v>1066</v>
      </c>
      <c r="T280" s="46" t="s">
        <v>1085</v>
      </c>
      <c r="U280" t="str">
        <f>IFERROR(+VLOOKUP(H280,'DISPOSITIVOS ACTIVOS'!B:D,3,FALSE),"IPHONE")</f>
        <v>Iphone</v>
      </c>
      <c r="V280" t="str">
        <f>IFERROR(+VLOOKUP(H280,'[1]Migracion feb25 Ver to ATT'!$B:$G,6,FALSE), "NO MIGRADO")</f>
        <v>Iphone</v>
      </c>
      <c r="W280" s="26">
        <v>15</v>
      </c>
    </row>
    <row r="281" spans="1:23" x14ac:dyDescent="0.3">
      <c r="A281" s="39" t="s">
        <v>1206</v>
      </c>
      <c r="B281" s="46" t="s">
        <v>22</v>
      </c>
      <c r="C281" s="109">
        <v>45826</v>
      </c>
      <c r="D281" s="46">
        <v>6</v>
      </c>
      <c r="E281" s="46">
        <v>2025</v>
      </c>
      <c r="F281" s="46">
        <v>9</v>
      </c>
      <c r="G281" s="50" t="s">
        <v>78</v>
      </c>
      <c r="H281" s="110" t="s">
        <v>77</v>
      </c>
      <c r="I281" s="111" t="s">
        <v>1214</v>
      </c>
      <c r="J281" s="26">
        <v>0</v>
      </c>
      <c r="K281" s="26">
        <v>0</v>
      </c>
      <c r="L281" s="26">
        <v>0</v>
      </c>
      <c r="M281" s="26">
        <v>0</v>
      </c>
      <c r="N281" s="26">
        <v>0</v>
      </c>
      <c r="O281" s="26">
        <v>0</v>
      </c>
      <c r="P281" s="83">
        <v>-98.67</v>
      </c>
      <c r="Q281" s="39">
        <v>60311005</v>
      </c>
      <c r="R281" s="46" t="s">
        <v>1065</v>
      </c>
      <c r="S281" s="46" t="s">
        <v>1066</v>
      </c>
      <c r="T281" s="46" t="s">
        <v>1071</v>
      </c>
      <c r="U281" t="str">
        <f>IFERROR(+VLOOKUP(H281,'DISPOSITIVOS ACTIVOS'!B:D,3,FALSE),"IPHONE")</f>
        <v>Iphone</v>
      </c>
      <c r="V281" t="str">
        <f>IFERROR(+VLOOKUP(H281,'[1]Migracion feb25 Ver to ATT'!$B:$G,6,FALSE), "NO MIGRADO")</f>
        <v>Iphone</v>
      </c>
      <c r="W281" s="26">
        <v>15</v>
      </c>
    </row>
    <row r="282" spans="1:23" x14ac:dyDescent="0.3">
      <c r="A282" s="39" t="s">
        <v>1206</v>
      </c>
      <c r="B282" s="46" t="s">
        <v>22</v>
      </c>
      <c r="C282" s="112">
        <v>45826</v>
      </c>
      <c r="D282" s="46">
        <v>6</v>
      </c>
      <c r="E282" s="46">
        <v>2025</v>
      </c>
      <c r="F282" s="46">
        <v>9</v>
      </c>
      <c r="G282" s="50" t="s">
        <v>94</v>
      </c>
      <c r="H282" s="113" t="s">
        <v>93</v>
      </c>
      <c r="I282" s="108" t="s">
        <v>1215</v>
      </c>
      <c r="J282" s="26">
        <v>0</v>
      </c>
      <c r="K282" s="26">
        <v>0</v>
      </c>
      <c r="L282" s="26">
        <v>0</v>
      </c>
      <c r="M282" s="26">
        <v>0</v>
      </c>
      <c r="N282" s="26">
        <v>0</v>
      </c>
      <c r="O282" s="26">
        <v>0</v>
      </c>
      <c r="P282" s="83">
        <v>-98.67</v>
      </c>
      <c r="Q282" s="39">
        <v>60311005</v>
      </c>
      <c r="R282" s="46" t="s">
        <v>1065</v>
      </c>
      <c r="S282" s="46" t="s">
        <v>1066</v>
      </c>
      <c r="T282" s="46" t="s">
        <v>1084</v>
      </c>
      <c r="U282" t="str">
        <f>IFERROR(+VLOOKUP(H282,'DISPOSITIVOS ACTIVOS'!B:D,3,FALSE),"IPHONE")</f>
        <v>Iphone</v>
      </c>
      <c r="V282" t="str">
        <f>IFERROR(+VLOOKUP(H282,'[1]Migracion feb25 Ver to ATT'!$B:$G,6,FALSE), "NO MIGRADO")</f>
        <v>Iphone</v>
      </c>
      <c r="W282" s="26">
        <v>15</v>
      </c>
    </row>
    <row r="283" spans="1:23" x14ac:dyDescent="0.3">
      <c r="A283" s="39" t="s">
        <v>1206</v>
      </c>
      <c r="B283" s="46" t="s">
        <v>22</v>
      </c>
      <c r="C283" s="109">
        <v>45826</v>
      </c>
      <c r="D283" s="46">
        <v>6</v>
      </c>
      <c r="E283" s="46">
        <v>2025</v>
      </c>
      <c r="F283" s="46">
        <v>9</v>
      </c>
      <c r="G283" s="47" t="s">
        <v>96</v>
      </c>
      <c r="H283" s="110" t="s">
        <v>95</v>
      </c>
      <c r="I283" s="111" t="s">
        <v>1216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83">
        <v>-98.67</v>
      </c>
      <c r="Q283" s="39">
        <v>60311005</v>
      </c>
      <c r="R283" s="46" t="s">
        <v>1065</v>
      </c>
      <c r="S283" s="46" t="s">
        <v>1066</v>
      </c>
      <c r="T283" s="46" t="s">
        <v>1067</v>
      </c>
      <c r="U283">
        <f>IFERROR(+VLOOKUP(H283,'DISPOSITIVOS ACTIVOS'!B:D,3,FALSE),"IPHONE")</f>
        <v>0</v>
      </c>
      <c r="V283" t="str">
        <f>IFERROR(+VLOOKUP(H283,'[1]Migracion feb25 Ver to ATT'!$B:$G,6,FALSE), "NO MIGRADO")</f>
        <v xml:space="preserve">Galaxy </v>
      </c>
      <c r="W283" s="26">
        <v>15</v>
      </c>
    </row>
    <row r="284" spans="1:23" x14ac:dyDescent="0.3">
      <c r="A284" s="39" t="s">
        <v>1206</v>
      </c>
      <c r="B284" s="46" t="s">
        <v>22</v>
      </c>
      <c r="C284" s="112">
        <v>45826</v>
      </c>
      <c r="D284" s="46">
        <v>6</v>
      </c>
      <c r="E284" s="46">
        <v>2025</v>
      </c>
      <c r="F284" s="46">
        <v>9</v>
      </c>
      <c r="G284" s="50" t="s">
        <v>98</v>
      </c>
      <c r="H284" s="113" t="s">
        <v>97</v>
      </c>
      <c r="I284" s="108" t="s">
        <v>1217</v>
      </c>
      <c r="J284" s="26">
        <v>0</v>
      </c>
      <c r="K284" s="26">
        <v>0</v>
      </c>
      <c r="L284" s="26">
        <v>0</v>
      </c>
      <c r="M284" s="26">
        <v>0</v>
      </c>
      <c r="N284" s="26">
        <v>0</v>
      </c>
      <c r="O284" s="26">
        <v>0</v>
      </c>
      <c r="P284" s="83">
        <v>-89.33</v>
      </c>
      <c r="Q284" s="39">
        <v>60311005</v>
      </c>
      <c r="R284" s="46" t="s">
        <v>1079</v>
      </c>
      <c r="S284" s="46" t="s">
        <v>1080</v>
      </c>
      <c r="T284" s="46" t="s">
        <v>1097</v>
      </c>
      <c r="U284" t="str">
        <f>IFERROR(+VLOOKUP(H284,'DISPOSITIVOS ACTIVOS'!B:D,3,FALSE),"IPHONE")</f>
        <v xml:space="preserve">Galaxy </v>
      </c>
      <c r="V284" t="str">
        <f>IFERROR(+VLOOKUP(H284,'[1]Migracion feb25 Ver to ATT'!$B:$G,6,FALSE), "NO MIGRADO")</f>
        <v xml:space="preserve">Galaxy </v>
      </c>
      <c r="W284" s="26">
        <v>15</v>
      </c>
    </row>
    <row r="285" spans="1:23" x14ac:dyDescent="0.3">
      <c r="A285" s="39" t="s">
        <v>1206</v>
      </c>
      <c r="B285" s="46" t="s">
        <v>22</v>
      </c>
      <c r="C285" s="109">
        <v>45826</v>
      </c>
      <c r="D285" s="46">
        <v>6</v>
      </c>
      <c r="E285" s="46">
        <v>2025</v>
      </c>
      <c r="F285" s="46">
        <v>9</v>
      </c>
      <c r="G285" s="47" t="s">
        <v>100</v>
      </c>
      <c r="H285" s="110" t="s">
        <v>99</v>
      </c>
      <c r="I285" s="111" t="s">
        <v>1218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83">
        <v>-98.67</v>
      </c>
      <c r="Q285" s="39">
        <v>60311005</v>
      </c>
      <c r="R285" s="46" t="s">
        <v>1065</v>
      </c>
      <c r="S285" s="46" t="s">
        <v>1066</v>
      </c>
      <c r="T285" s="46" t="s">
        <v>1085</v>
      </c>
      <c r="U285" t="str">
        <f>IFERROR(+VLOOKUP(H285,'DISPOSITIVOS ACTIVOS'!B:D,3,FALSE),"IPHONE")</f>
        <v>Iphone</v>
      </c>
      <c r="V285" t="str">
        <f>IFERROR(+VLOOKUP(H285,'[1]Migracion feb25 Ver to ATT'!$B:$G,6,FALSE), "NO MIGRADO")</f>
        <v>Iphone</v>
      </c>
      <c r="W285" s="26">
        <v>15</v>
      </c>
    </row>
    <row r="286" spans="1:23" x14ac:dyDescent="0.3">
      <c r="A286" s="39" t="s">
        <v>1206</v>
      </c>
      <c r="B286" s="46" t="s">
        <v>22</v>
      </c>
      <c r="C286" s="112">
        <v>45826</v>
      </c>
      <c r="D286" s="46">
        <v>6</v>
      </c>
      <c r="E286" s="46">
        <v>2025</v>
      </c>
      <c r="F286" s="46">
        <v>9</v>
      </c>
      <c r="G286" s="50" t="s">
        <v>102</v>
      </c>
      <c r="H286" s="113" t="s">
        <v>101</v>
      </c>
      <c r="I286" s="108" t="s">
        <v>1219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83">
        <v>-98.67</v>
      </c>
      <c r="Q286" s="39">
        <v>60311005</v>
      </c>
      <c r="R286" s="46" t="s">
        <v>1065</v>
      </c>
      <c r="S286" s="46" t="s">
        <v>1066</v>
      </c>
      <c r="T286" s="46" t="s">
        <v>1085</v>
      </c>
      <c r="U286" t="str">
        <f>IFERROR(+VLOOKUP(H286,'DISPOSITIVOS ACTIVOS'!B:D,3,FALSE),"IPHONE")</f>
        <v>Iphone</v>
      </c>
      <c r="V286" t="str">
        <f>IFERROR(+VLOOKUP(H286,'[1]Migracion feb25 Ver to ATT'!$B:$G,6,FALSE), "NO MIGRADO")</f>
        <v>Iphone</v>
      </c>
      <c r="W286" s="26">
        <v>15</v>
      </c>
    </row>
    <row r="287" spans="1:23" x14ac:dyDescent="0.3">
      <c r="A287" s="39" t="s">
        <v>1206</v>
      </c>
      <c r="B287" s="46" t="s">
        <v>22</v>
      </c>
      <c r="C287" s="109">
        <v>45826</v>
      </c>
      <c r="D287" s="46">
        <v>6</v>
      </c>
      <c r="E287" s="46">
        <v>2025</v>
      </c>
      <c r="F287" s="46">
        <v>9</v>
      </c>
      <c r="G287" s="50" t="s">
        <v>106</v>
      </c>
      <c r="H287" s="110" t="s">
        <v>105</v>
      </c>
      <c r="I287" s="111" t="s">
        <v>1220</v>
      </c>
      <c r="J287" s="26">
        <v>0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83">
        <v>-98.67</v>
      </c>
      <c r="Q287" s="39">
        <v>60311005</v>
      </c>
      <c r="R287" s="46" t="s">
        <v>1065</v>
      </c>
      <c r="S287" s="46" t="s">
        <v>1066</v>
      </c>
      <c r="T287" s="46" t="s">
        <v>1084</v>
      </c>
      <c r="U287" t="str">
        <f>IFERROR(+VLOOKUP(H287,'DISPOSITIVOS ACTIVOS'!B:D,3,FALSE),"IPHONE")</f>
        <v>Iphone</v>
      </c>
      <c r="V287" t="str">
        <f>IFERROR(+VLOOKUP(H287,'[1]Migracion feb25 Ver to ATT'!$B:$G,6,FALSE), "NO MIGRADO")</f>
        <v>Iphone</v>
      </c>
      <c r="W287" s="26">
        <v>15</v>
      </c>
    </row>
    <row r="288" spans="1:23" x14ac:dyDescent="0.3">
      <c r="A288" s="39" t="s">
        <v>1206</v>
      </c>
      <c r="B288" s="46" t="s">
        <v>22</v>
      </c>
      <c r="C288" s="112">
        <v>45826</v>
      </c>
      <c r="D288" s="46">
        <v>6</v>
      </c>
      <c r="E288" s="46">
        <v>2025</v>
      </c>
      <c r="F288" s="46">
        <v>9</v>
      </c>
      <c r="G288" s="47" t="s">
        <v>108</v>
      </c>
      <c r="H288" s="113" t="s">
        <v>107</v>
      </c>
      <c r="I288" s="108" t="s">
        <v>1221</v>
      </c>
      <c r="J288" s="26">
        <v>0</v>
      </c>
      <c r="K288" s="26">
        <v>0</v>
      </c>
      <c r="L288" s="26">
        <v>0</v>
      </c>
      <c r="M288" s="26">
        <v>0</v>
      </c>
      <c r="N288" s="26">
        <v>0</v>
      </c>
      <c r="O288" s="26">
        <v>0</v>
      </c>
      <c r="P288" s="83">
        <v>-98.67</v>
      </c>
      <c r="Q288" s="39">
        <v>60311005</v>
      </c>
      <c r="R288" s="46" t="s">
        <v>1065</v>
      </c>
      <c r="S288" s="46" t="s">
        <v>1066</v>
      </c>
      <c r="T288" s="46" t="s">
        <v>1067</v>
      </c>
      <c r="U288" t="str">
        <f>IFERROR(+VLOOKUP(H288,'DISPOSITIVOS ACTIVOS'!B:D,3,FALSE),"IPHONE")</f>
        <v>Iphone</v>
      </c>
      <c r="V288" t="str">
        <f>IFERROR(+VLOOKUP(H288,'[1]Migracion feb25 Ver to ATT'!$B:$G,6,FALSE), "NO MIGRADO")</f>
        <v>Iphone</v>
      </c>
      <c r="W288" s="26">
        <v>15</v>
      </c>
    </row>
    <row r="289" spans="1:23" x14ac:dyDescent="0.3">
      <c r="A289" s="39" t="s">
        <v>1206</v>
      </c>
      <c r="B289" s="46" t="s">
        <v>22</v>
      </c>
      <c r="C289" s="109">
        <v>45826</v>
      </c>
      <c r="D289" s="46">
        <v>6</v>
      </c>
      <c r="E289" s="46">
        <v>2025</v>
      </c>
      <c r="F289" s="46">
        <v>9</v>
      </c>
      <c r="G289" s="50" t="s">
        <v>110</v>
      </c>
      <c r="H289" s="110" t="s">
        <v>109</v>
      </c>
      <c r="I289" s="111" t="s">
        <v>1222</v>
      </c>
      <c r="J289" s="26">
        <v>0</v>
      </c>
      <c r="K289" s="26">
        <v>0</v>
      </c>
      <c r="L289" s="26">
        <v>0</v>
      </c>
      <c r="M289" s="26">
        <v>0</v>
      </c>
      <c r="N289" s="26">
        <v>0</v>
      </c>
      <c r="O289" s="26">
        <v>0</v>
      </c>
      <c r="P289" s="83">
        <v>-68.77</v>
      </c>
      <c r="Q289" s="39">
        <v>60311005</v>
      </c>
      <c r="R289" s="46" t="s">
        <v>1079</v>
      </c>
      <c r="S289" s="46" t="s">
        <v>1080</v>
      </c>
      <c r="T289" s="46" t="s">
        <v>1104</v>
      </c>
      <c r="U289" t="str">
        <f>IFERROR(+VLOOKUP(H289,'DISPOSITIVOS ACTIVOS'!B:D,3,FALSE),"IPHONE")</f>
        <v>Galaxy</v>
      </c>
      <c r="V289" t="str">
        <f>IFERROR(+VLOOKUP(H289,'[1]Migracion feb25 Ver to ATT'!$B:$G,6,FALSE), "NO MIGRADO")</f>
        <v xml:space="preserve">Galaxy </v>
      </c>
      <c r="W289" s="26">
        <v>15</v>
      </c>
    </row>
    <row r="290" spans="1:23" x14ac:dyDescent="0.3">
      <c r="A290" s="39" t="s">
        <v>1206</v>
      </c>
      <c r="B290" s="46" t="s">
        <v>22</v>
      </c>
      <c r="C290" s="112">
        <v>45826</v>
      </c>
      <c r="D290" s="46">
        <v>6</v>
      </c>
      <c r="E290" s="46">
        <v>2025</v>
      </c>
      <c r="F290" s="46">
        <v>9</v>
      </c>
      <c r="G290" s="47" t="s">
        <v>120</v>
      </c>
      <c r="H290" s="113" t="s">
        <v>119</v>
      </c>
      <c r="I290" s="108" t="s">
        <v>1223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83">
        <v>-65.36</v>
      </c>
      <c r="Q290" s="39">
        <v>60311005</v>
      </c>
      <c r="R290" s="46" t="s">
        <v>1079</v>
      </c>
      <c r="S290" s="46" t="s">
        <v>1089</v>
      </c>
      <c r="T290" s="46" t="s">
        <v>1090</v>
      </c>
      <c r="U290" t="str">
        <f>IFERROR(+VLOOKUP(H290,'DISPOSITIVOS ACTIVOS'!B:D,3,FALSE),"IPHONE")</f>
        <v>Galaxy</v>
      </c>
      <c r="V290" t="str">
        <f>IFERROR(+VLOOKUP(H290,'[1]Migracion feb25 Ver to ATT'!$B:$G,6,FALSE), "NO MIGRADO")</f>
        <v>NO MIGRADO</v>
      </c>
      <c r="W290" s="26">
        <v>25</v>
      </c>
    </row>
    <row r="291" spans="1:23" x14ac:dyDescent="0.3">
      <c r="A291" s="39" t="s">
        <v>1206</v>
      </c>
      <c r="B291" s="46" t="s">
        <v>22</v>
      </c>
      <c r="C291" s="109">
        <v>45826</v>
      </c>
      <c r="D291" s="46">
        <v>6</v>
      </c>
      <c r="E291" s="46">
        <v>2025</v>
      </c>
      <c r="F291" s="46">
        <v>9</v>
      </c>
      <c r="G291" s="50" t="s">
        <v>122</v>
      </c>
      <c r="H291" s="110" t="s">
        <v>121</v>
      </c>
      <c r="I291" s="111" t="s">
        <v>1224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6">
        <v>0</v>
      </c>
      <c r="P291" s="83">
        <v>-98.67</v>
      </c>
      <c r="Q291" s="39">
        <v>60311005</v>
      </c>
      <c r="R291" s="46" t="s">
        <v>1079</v>
      </c>
      <c r="S291" s="46" t="s">
        <v>1089</v>
      </c>
      <c r="T291" s="46" t="s">
        <v>1090</v>
      </c>
      <c r="U291" t="str">
        <f>IFERROR(+VLOOKUP(H291,'DISPOSITIVOS ACTIVOS'!B:D,3,FALSE),"IPHONE")</f>
        <v>Iphone</v>
      </c>
      <c r="V291" t="str">
        <f>IFERROR(+VLOOKUP(H291,'[1]Migracion feb25 Ver to ATT'!$B:$G,6,FALSE), "NO MIGRADO")</f>
        <v>Iphone</v>
      </c>
      <c r="W291" s="26">
        <v>15</v>
      </c>
    </row>
    <row r="292" spans="1:23" x14ac:dyDescent="0.3">
      <c r="A292" s="39" t="s">
        <v>1206</v>
      </c>
      <c r="B292" s="46" t="s">
        <v>22</v>
      </c>
      <c r="C292" s="112">
        <v>45826</v>
      </c>
      <c r="D292" s="46">
        <v>6</v>
      </c>
      <c r="E292" s="46">
        <v>2025</v>
      </c>
      <c r="F292" s="46">
        <v>9</v>
      </c>
      <c r="G292" s="47" t="s">
        <v>132</v>
      </c>
      <c r="H292" s="113" t="s">
        <v>131</v>
      </c>
      <c r="I292" s="108" t="s">
        <v>1225</v>
      </c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0</v>
      </c>
      <c r="P292" s="83">
        <v>-98.67</v>
      </c>
      <c r="Q292" s="39">
        <v>60311005</v>
      </c>
      <c r="R292" s="46" t="s">
        <v>1065</v>
      </c>
      <c r="S292" s="46" t="s">
        <v>1066</v>
      </c>
      <c r="T292" s="46" t="s">
        <v>1067</v>
      </c>
      <c r="U292" t="str">
        <f>IFERROR(+VLOOKUP(H292,'DISPOSITIVOS ACTIVOS'!B:D,3,FALSE),"IPHONE")</f>
        <v>Iphone</v>
      </c>
      <c r="V292" t="str">
        <f>IFERROR(+VLOOKUP(H292,'[1]Migracion feb25 Ver to ATT'!$B:$G,6,FALSE), "NO MIGRADO")</f>
        <v>Iphone</v>
      </c>
      <c r="W292" s="26">
        <v>15</v>
      </c>
    </row>
    <row r="293" spans="1:23" x14ac:dyDescent="0.3">
      <c r="A293" s="39" t="s">
        <v>1206</v>
      </c>
      <c r="B293" s="46" t="s">
        <v>22</v>
      </c>
      <c r="C293" s="109">
        <v>45826</v>
      </c>
      <c r="D293" s="46">
        <v>6</v>
      </c>
      <c r="E293" s="46">
        <v>2025</v>
      </c>
      <c r="F293" s="46">
        <v>9</v>
      </c>
      <c r="G293" s="50" t="s">
        <v>96</v>
      </c>
      <c r="H293" s="110" t="s">
        <v>146</v>
      </c>
      <c r="I293" s="111" t="s">
        <v>1226</v>
      </c>
      <c r="J293" s="26">
        <v>0</v>
      </c>
      <c r="K293" s="26">
        <v>0</v>
      </c>
      <c r="L293" s="26">
        <v>0</v>
      </c>
      <c r="M293" s="26">
        <v>0</v>
      </c>
      <c r="N293" s="26">
        <v>0</v>
      </c>
      <c r="O293" s="26">
        <v>0</v>
      </c>
      <c r="P293" s="83">
        <v>-98.67</v>
      </c>
      <c r="Q293" s="39">
        <v>10145005</v>
      </c>
      <c r="R293" s="46"/>
      <c r="S293" s="46"/>
      <c r="T293" s="46"/>
      <c r="U293" t="str">
        <f>IFERROR(+VLOOKUP(H293,'DISPOSITIVOS ACTIVOS'!B:D,3,FALSE),"IPHONE")</f>
        <v>Iphone</v>
      </c>
      <c r="V293" t="str">
        <f>IFERROR(+VLOOKUP(H293,'[1]Migracion feb25 Ver to ATT'!$B:$G,6,FALSE), "NO MIGRADO")</f>
        <v>Iphone</v>
      </c>
      <c r="W293" s="26">
        <v>15</v>
      </c>
    </row>
    <row r="294" spans="1:23" x14ac:dyDescent="0.3">
      <c r="A294" s="39" t="s">
        <v>1206</v>
      </c>
      <c r="B294" s="46" t="s">
        <v>22</v>
      </c>
      <c r="C294" s="112">
        <v>45826</v>
      </c>
      <c r="D294" s="46">
        <v>6</v>
      </c>
      <c r="E294" s="46">
        <v>2025</v>
      </c>
      <c r="F294" s="46">
        <v>9</v>
      </c>
      <c r="G294" s="47" t="s">
        <v>148</v>
      </c>
      <c r="H294" s="113" t="s">
        <v>147</v>
      </c>
      <c r="I294" s="108" t="s">
        <v>1227</v>
      </c>
      <c r="J294" s="26">
        <v>0</v>
      </c>
      <c r="K294" s="26">
        <v>0</v>
      </c>
      <c r="L294" s="26">
        <v>0</v>
      </c>
      <c r="M294" s="26">
        <v>0</v>
      </c>
      <c r="N294" s="26">
        <v>0</v>
      </c>
      <c r="O294" s="26">
        <v>0</v>
      </c>
      <c r="P294" s="83">
        <v>-98.67</v>
      </c>
      <c r="Q294" s="39">
        <v>60311005</v>
      </c>
      <c r="R294" s="46" t="s">
        <v>1065</v>
      </c>
      <c r="S294" s="46" t="s">
        <v>1066</v>
      </c>
      <c r="T294" s="46" t="s">
        <v>1085</v>
      </c>
      <c r="U294" t="str">
        <f>IFERROR(+VLOOKUP(H294,'DISPOSITIVOS ACTIVOS'!B:D,3,FALSE),"IPHONE")</f>
        <v>Iphone</v>
      </c>
      <c r="V294" t="str">
        <f>IFERROR(+VLOOKUP(H294,'[1]Migracion feb25 Ver to ATT'!$B:$G,6,FALSE), "NO MIGRADO")</f>
        <v>Iphone</v>
      </c>
      <c r="W294" s="26">
        <v>15</v>
      </c>
    </row>
    <row r="295" spans="1:23" x14ac:dyDescent="0.3">
      <c r="A295" s="39" t="s">
        <v>1206</v>
      </c>
      <c r="B295" s="46" t="s">
        <v>22</v>
      </c>
      <c r="C295" s="109">
        <v>45826</v>
      </c>
      <c r="D295" s="46">
        <v>6</v>
      </c>
      <c r="E295" s="46">
        <v>2025</v>
      </c>
      <c r="F295" s="46">
        <v>9</v>
      </c>
      <c r="G295" s="50" t="s">
        <v>150</v>
      </c>
      <c r="H295" s="110" t="s">
        <v>149</v>
      </c>
      <c r="I295" s="111" t="s">
        <v>1228</v>
      </c>
      <c r="J295" s="26">
        <v>0</v>
      </c>
      <c r="K295" s="26">
        <v>0</v>
      </c>
      <c r="L295" s="26">
        <v>0</v>
      </c>
      <c r="M295" s="26">
        <v>0</v>
      </c>
      <c r="N295" s="26">
        <v>0</v>
      </c>
      <c r="O295" s="26">
        <v>0</v>
      </c>
      <c r="P295" s="83">
        <v>-98.67</v>
      </c>
      <c r="Q295" s="39">
        <v>60311005</v>
      </c>
      <c r="R295" s="46" t="s">
        <v>1065</v>
      </c>
      <c r="S295" s="46" t="s">
        <v>1066</v>
      </c>
      <c r="T295" s="46" t="s">
        <v>1084</v>
      </c>
      <c r="U295" t="str">
        <f>IFERROR(+VLOOKUP(H295,'DISPOSITIVOS ACTIVOS'!B:D,3,FALSE),"IPHONE")</f>
        <v>Iphone</v>
      </c>
      <c r="V295" t="str">
        <f>IFERROR(+VLOOKUP(H295,'[1]Migracion feb25 Ver to ATT'!$B:$G,6,FALSE), "NO MIGRADO")</f>
        <v>Iphone</v>
      </c>
      <c r="W295" s="26">
        <v>15</v>
      </c>
    </row>
    <row r="296" spans="1:23" x14ac:dyDescent="0.3">
      <c r="A296" s="39" t="s">
        <v>1206</v>
      </c>
      <c r="B296" s="46" t="s">
        <v>22</v>
      </c>
      <c r="C296" s="112">
        <v>45826</v>
      </c>
      <c r="D296" s="46">
        <v>6</v>
      </c>
      <c r="E296" s="46">
        <v>2025</v>
      </c>
      <c r="F296" s="46">
        <v>9</v>
      </c>
      <c r="G296" s="47" t="s">
        <v>152</v>
      </c>
      <c r="H296" s="113" t="s">
        <v>151</v>
      </c>
      <c r="I296" s="108" t="s">
        <v>1229</v>
      </c>
      <c r="J296" s="26">
        <v>0</v>
      </c>
      <c r="K296" s="26">
        <v>0</v>
      </c>
      <c r="L296" s="26">
        <v>0</v>
      </c>
      <c r="M296" s="26">
        <v>0</v>
      </c>
      <c r="N296" s="26">
        <v>0</v>
      </c>
      <c r="O296" s="26">
        <v>0</v>
      </c>
      <c r="P296" s="83">
        <v>-98.67</v>
      </c>
      <c r="Q296" s="39">
        <v>60311005</v>
      </c>
      <c r="R296" s="46" t="s">
        <v>1065</v>
      </c>
      <c r="S296" s="46" t="s">
        <v>1066</v>
      </c>
      <c r="T296" s="46" t="s">
        <v>1122</v>
      </c>
      <c r="U296">
        <f>IFERROR(+VLOOKUP(H296,'DISPOSITIVOS ACTIVOS'!B:D,3,FALSE),"IPHONE")</f>
        <v>0</v>
      </c>
      <c r="V296" t="str">
        <f>IFERROR(+VLOOKUP(H296,'[1]Migracion feb25 Ver to ATT'!$B:$G,6,FALSE), "NO MIGRADO")</f>
        <v>Iphone</v>
      </c>
      <c r="W296" s="26">
        <v>15</v>
      </c>
    </row>
    <row r="297" spans="1:23" x14ac:dyDescent="0.3">
      <c r="A297" s="39" t="s">
        <v>1206</v>
      </c>
      <c r="B297" s="46" t="s">
        <v>22</v>
      </c>
      <c r="C297" s="109">
        <v>45826</v>
      </c>
      <c r="D297" s="46">
        <v>6</v>
      </c>
      <c r="E297" s="46">
        <v>2025</v>
      </c>
      <c r="F297" s="46">
        <v>9</v>
      </c>
      <c r="G297" s="50" t="s">
        <v>166</v>
      </c>
      <c r="H297" s="110" t="s">
        <v>165</v>
      </c>
      <c r="I297" s="111" t="s">
        <v>1230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83">
        <v>-89.33</v>
      </c>
      <c r="Q297" s="39">
        <v>60311005</v>
      </c>
      <c r="R297" s="46" t="s">
        <v>1079</v>
      </c>
      <c r="S297" s="46" t="s">
        <v>1080</v>
      </c>
      <c r="T297" s="46" t="s">
        <v>1104</v>
      </c>
      <c r="U297" t="str">
        <f>IFERROR(+VLOOKUP(H297,'DISPOSITIVOS ACTIVOS'!B:D,3,FALSE),"IPHONE")</f>
        <v xml:space="preserve">Galaxy </v>
      </c>
      <c r="V297" t="str">
        <f>IFERROR(+VLOOKUP(H297,'[1]Migracion feb25 Ver to ATT'!$B:$G,6,FALSE), "NO MIGRADO")</f>
        <v xml:space="preserve">Galaxy </v>
      </c>
      <c r="W297" s="26">
        <v>15</v>
      </c>
    </row>
    <row r="298" spans="1:23" x14ac:dyDescent="0.3">
      <c r="A298" s="39" t="s">
        <v>1206</v>
      </c>
      <c r="B298" s="46" t="s">
        <v>22</v>
      </c>
      <c r="C298" s="112">
        <v>45826</v>
      </c>
      <c r="D298" s="46">
        <v>6</v>
      </c>
      <c r="E298" s="46">
        <v>2025</v>
      </c>
      <c r="F298" s="46">
        <v>9</v>
      </c>
      <c r="G298" s="47" t="s">
        <v>168</v>
      </c>
      <c r="H298" s="113" t="s">
        <v>167</v>
      </c>
      <c r="I298" s="108" t="s">
        <v>1231</v>
      </c>
      <c r="J298" s="26">
        <v>0</v>
      </c>
      <c r="K298" s="26">
        <v>0</v>
      </c>
      <c r="L298" s="26">
        <v>0</v>
      </c>
      <c r="M298" s="26">
        <v>0</v>
      </c>
      <c r="N298" s="26">
        <v>0</v>
      </c>
      <c r="O298" s="26">
        <v>0</v>
      </c>
      <c r="P298" s="83">
        <v>-89.33</v>
      </c>
      <c r="Q298" s="39">
        <v>60311005</v>
      </c>
      <c r="R298" s="46" t="s">
        <v>1079</v>
      </c>
      <c r="S298" s="46" t="s">
        <v>1080</v>
      </c>
      <c r="T298" s="46" t="s">
        <v>1097</v>
      </c>
      <c r="U298" t="str">
        <f>IFERROR(+VLOOKUP(H298,'DISPOSITIVOS ACTIVOS'!B:D,3,FALSE),"IPHONE")</f>
        <v xml:space="preserve">Galaxy </v>
      </c>
      <c r="V298" t="str">
        <f>IFERROR(+VLOOKUP(H298,'[1]Migracion feb25 Ver to ATT'!$B:$G,6,FALSE), "NO MIGRADO")</f>
        <v xml:space="preserve">Galaxy </v>
      </c>
      <c r="W298" s="26">
        <v>15</v>
      </c>
    </row>
    <row r="299" spans="1:23" x14ac:dyDescent="0.3">
      <c r="A299" s="39" t="s">
        <v>1206</v>
      </c>
      <c r="B299" s="46" t="s">
        <v>22</v>
      </c>
      <c r="C299" s="109">
        <v>45826</v>
      </c>
      <c r="D299" s="46">
        <v>6</v>
      </c>
      <c r="E299" s="46">
        <v>2025</v>
      </c>
      <c r="F299" s="46">
        <v>9</v>
      </c>
      <c r="G299" s="50" t="s">
        <v>170</v>
      </c>
      <c r="H299" s="110" t="s">
        <v>169</v>
      </c>
      <c r="I299" s="111" t="s">
        <v>1232</v>
      </c>
      <c r="J299" s="26">
        <v>0</v>
      </c>
      <c r="K299" s="26">
        <v>0</v>
      </c>
      <c r="L299" s="26">
        <v>0</v>
      </c>
      <c r="M299" s="26">
        <v>0</v>
      </c>
      <c r="N299" s="26">
        <v>0</v>
      </c>
      <c r="O299" s="26">
        <v>0</v>
      </c>
      <c r="P299" s="83">
        <v>-89.33</v>
      </c>
      <c r="Q299" s="39">
        <v>60311005</v>
      </c>
      <c r="R299" s="46" t="s">
        <v>1065</v>
      </c>
      <c r="S299" s="46" t="s">
        <v>1066</v>
      </c>
      <c r="T299" s="46" t="s">
        <v>1067</v>
      </c>
      <c r="U299" t="str">
        <f>IFERROR(+VLOOKUP(H299,'DISPOSITIVOS ACTIVOS'!B:D,3,FALSE),"IPHONE")</f>
        <v>Iphone</v>
      </c>
      <c r="V299" t="str">
        <f>IFERROR(+VLOOKUP(H299,'[1]Migracion feb25 Ver to ATT'!$B:$G,6,FALSE), "NO MIGRADO")</f>
        <v>Iphone</v>
      </c>
      <c r="W299" s="26">
        <v>15</v>
      </c>
    </row>
    <row r="300" spans="1:23" x14ac:dyDescent="0.3">
      <c r="A300" s="39" t="s">
        <v>1206</v>
      </c>
      <c r="B300" s="46" t="s">
        <v>22</v>
      </c>
      <c r="C300" s="112">
        <v>45826</v>
      </c>
      <c r="D300" s="46">
        <v>6</v>
      </c>
      <c r="E300" s="46">
        <v>2025</v>
      </c>
      <c r="F300" s="46">
        <v>9</v>
      </c>
      <c r="G300" s="47" t="s">
        <v>176</v>
      </c>
      <c r="H300" s="113" t="s">
        <v>175</v>
      </c>
      <c r="I300" s="108" t="s">
        <v>1233</v>
      </c>
      <c r="J300" s="26">
        <v>0</v>
      </c>
      <c r="K300" s="26">
        <v>0</v>
      </c>
      <c r="L300" s="26">
        <v>0</v>
      </c>
      <c r="M300" s="26">
        <v>0</v>
      </c>
      <c r="N300" s="26">
        <v>0</v>
      </c>
      <c r="O300" s="26">
        <v>0</v>
      </c>
      <c r="P300" s="83">
        <v>-89.33</v>
      </c>
      <c r="Q300" s="39">
        <v>60311005</v>
      </c>
      <c r="R300" s="46" t="s">
        <v>1079</v>
      </c>
      <c r="S300" s="46" t="s">
        <v>1080</v>
      </c>
      <c r="T300" s="46" t="s">
        <v>1097</v>
      </c>
      <c r="U300" t="str">
        <f>IFERROR(+VLOOKUP(H300,'DISPOSITIVOS ACTIVOS'!B:D,3,FALSE),"IPHONE")</f>
        <v xml:space="preserve">Galaxy </v>
      </c>
      <c r="V300" t="str">
        <f>IFERROR(+VLOOKUP(H300,'[1]Migracion feb25 Ver to ATT'!$B:$G,6,FALSE), "NO MIGRADO")</f>
        <v xml:space="preserve">Galaxy </v>
      </c>
      <c r="W300" s="26">
        <v>15</v>
      </c>
    </row>
    <row r="301" spans="1:23" x14ac:dyDescent="0.3">
      <c r="A301" s="39" t="s">
        <v>1206</v>
      </c>
      <c r="B301" s="46" t="s">
        <v>22</v>
      </c>
      <c r="C301" s="109">
        <v>45826</v>
      </c>
      <c r="D301" s="46">
        <v>6</v>
      </c>
      <c r="E301" s="46">
        <v>2025</v>
      </c>
      <c r="F301" s="46">
        <v>9</v>
      </c>
      <c r="G301" s="50" t="s">
        <v>178</v>
      </c>
      <c r="H301" s="110" t="s">
        <v>177</v>
      </c>
      <c r="I301" s="111" t="s">
        <v>1234</v>
      </c>
      <c r="J301" s="26">
        <v>0</v>
      </c>
      <c r="K301" s="26">
        <v>0</v>
      </c>
      <c r="L301" s="26">
        <v>0</v>
      </c>
      <c r="M301" s="26">
        <v>0</v>
      </c>
      <c r="N301" s="26">
        <v>0</v>
      </c>
      <c r="O301" s="26">
        <v>0</v>
      </c>
      <c r="P301" s="83">
        <v>-45.67</v>
      </c>
      <c r="Q301" s="39">
        <v>60311005</v>
      </c>
      <c r="R301" s="46" t="s">
        <v>1114</v>
      </c>
      <c r="S301" s="46" t="s">
        <v>1115</v>
      </c>
      <c r="T301" s="46" t="s">
        <v>1116</v>
      </c>
      <c r="U301" t="str">
        <f>IFERROR(+VLOOKUP(H301,'DISPOSITIVOS ACTIVOS'!B:D,3,FALSE),"IPHONE")</f>
        <v>Iphone</v>
      </c>
      <c r="V301" t="str">
        <f>IFERROR(+VLOOKUP(H301,'[1]Migracion feb25 Ver to ATT'!$B:$G,6,FALSE), "NO MIGRADO")</f>
        <v>NO MIGRADO</v>
      </c>
      <c r="W301" s="26">
        <v>25</v>
      </c>
    </row>
    <row r="302" spans="1:23" x14ac:dyDescent="0.3">
      <c r="A302" s="39" t="s">
        <v>1206</v>
      </c>
      <c r="B302" s="46" t="s">
        <v>22</v>
      </c>
      <c r="C302" s="112">
        <v>45826</v>
      </c>
      <c r="D302" s="46">
        <v>6</v>
      </c>
      <c r="E302" s="46">
        <v>2025</v>
      </c>
      <c r="F302" s="46">
        <v>9</v>
      </c>
      <c r="G302" s="47" t="s">
        <v>180</v>
      </c>
      <c r="H302" s="113" t="s">
        <v>179</v>
      </c>
      <c r="I302" s="108" t="s">
        <v>1235</v>
      </c>
      <c r="J302" s="26">
        <v>0</v>
      </c>
      <c r="K302" s="26">
        <v>0</v>
      </c>
      <c r="L302" s="26">
        <v>0</v>
      </c>
      <c r="M302" s="26">
        <v>0</v>
      </c>
      <c r="N302" s="26">
        <v>0</v>
      </c>
      <c r="O302" s="26">
        <v>0</v>
      </c>
      <c r="P302" s="83">
        <v>-89.33</v>
      </c>
      <c r="Q302" s="39">
        <v>60311005</v>
      </c>
      <c r="R302" s="46" t="s">
        <v>1065</v>
      </c>
      <c r="S302" s="46" t="s">
        <v>1066</v>
      </c>
      <c r="T302" s="46" t="s">
        <v>1067</v>
      </c>
      <c r="U302" t="str">
        <f>IFERROR(+VLOOKUP(H302,'DISPOSITIVOS ACTIVOS'!B:D,3,FALSE),"IPHONE")</f>
        <v>Iphone</v>
      </c>
      <c r="V302" t="str">
        <f>IFERROR(+VLOOKUP(H302,'[1]Migracion feb25 Ver to ATT'!$B:$G,6,FALSE), "NO MIGRADO")</f>
        <v>Iphone</v>
      </c>
      <c r="W302" s="26">
        <v>15</v>
      </c>
    </row>
    <row r="303" spans="1:23" x14ac:dyDescent="0.3">
      <c r="A303" s="39" t="s">
        <v>1206</v>
      </c>
      <c r="B303" s="46" t="s">
        <v>22</v>
      </c>
      <c r="C303" s="109">
        <v>45826</v>
      </c>
      <c r="D303" s="46">
        <v>6</v>
      </c>
      <c r="E303" s="46">
        <v>2025</v>
      </c>
      <c r="F303" s="46">
        <v>9</v>
      </c>
      <c r="G303" s="50" t="s">
        <v>182</v>
      </c>
      <c r="H303" s="110" t="s">
        <v>181</v>
      </c>
      <c r="I303" s="111" t="s">
        <v>1236</v>
      </c>
      <c r="J303" s="26">
        <v>0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  <c r="P303" s="83">
        <v>-89.33</v>
      </c>
      <c r="Q303" s="39">
        <v>60311005</v>
      </c>
      <c r="R303" s="46" t="s">
        <v>1065</v>
      </c>
      <c r="S303" s="46" t="s">
        <v>1066</v>
      </c>
      <c r="T303" s="46" t="s">
        <v>1071</v>
      </c>
      <c r="U303" t="str">
        <f>IFERROR(+VLOOKUP(H303,'DISPOSITIVOS ACTIVOS'!B:D,3,FALSE),"IPHONE")</f>
        <v>Iphone</v>
      </c>
      <c r="V303" t="str">
        <f>IFERROR(+VLOOKUP(H303,'[1]Migracion feb25 Ver to ATT'!$B:$G,6,FALSE), "NO MIGRADO")</f>
        <v>Iphone</v>
      </c>
      <c r="W303" s="26">
        <v>15</v>
      </c>
    </row>
    <row r="304" spans="1:23" x14ac:dyDescent="0.3">
      <c r="A304" s="39" t="s">
        <v>1206</v>
      </c>
      <c r="B304" s="46" t="s">
        <v>22</v>
      </c>
      <c r="C304" s="112">
        <v>45826</v>
      </c>
      <c r="D304" s="46">
        <v>6</v>
      </c>
      <c r="E304" s="46">
        <v>2025</v>
      </c>
      <c r="F304" s="46">
        <v>9</v>
      </c>
      <c r="G304" s="47" t="s">
        <v>184</v>
      </c>
      <c r="H304" s="113" t="s">
        <v>183</v>
      </c>
      <c r="I304" s="108" t="s">
        <v>1237</v>
      </c>
      <c r="J304" s="26">
        <v>0</v>
      </c>
      <c r="K304" s="26">
        <v>0</v>
      </c>
      <c r="L304" s="26">
        <v>0</v>
      </c>
      <c r="M304" s="26">
        <v>0</v>
      </c>
      <c r="N304" s="26">
        <v>0</v>
      </c>
      <c r="O304" s="26">
        <v>0</v>
      </c>
      <c r="P304" s="83">
        <v>-89.33</v>
      </c>
      <c r="Q304" s="39">
        <v>60311005</v>
      </c>
      <c r="R304" s="46" t="s">
        <v>1065</v>
      </c>
      <c r="S304" s="46" t="s">
        <v>1066</v>
      </c>
      <c r="T304" s="46" t="s">
        <v>1084</v>
      </c>
      <c r="U304" t="str">
        <f>IFERROR(+VLOOKUP(H304,'DISPOSITIVOS ACTIVOS'!B:D,3,FALSE),"IPHONE")</f>
        <v>Iphone</v>
      </c>
      <c r="V304" t="str">
        <f>IFERROR(+VLOOKUP(H304,'[1]Migracion feb25 Ver to ATT'!$B:$G,6,FALSE), "NO MIGRADO")</f>
        <v>Iphone</v>
      </c>
      <c r="W304" s="26">
        <v>15</v>
      </c>
    </row>
    <row r="305" spans="1:23" x14ac:dyDescent="0.3">
      <c r="A305" s="39" t="s">
        <v>1206</v>
      </c>
      <c r="B305" s="46" t="s">
        <v>22</v>
      </c>
      <c r="C305" s="109">
        <v>45826</v>
      </c>
      <c r="D305" s="46">
        <v>6</v>
      </c>
      <c r="E305" s="46">
        <v>2025</v>
      </c>
      <c r="F305" s="46">
        <v>9</v>
      </c>
      <c r="G305" s="50" t="s">
        <v>186</v>
      </c>
      <c r="H305" s="110" t="s">
        <v>185</v>
      </c>
      <c r="I305" s="111" t="s">
        <v>1238</v>
      </c>
      <c r="J305" s="26">
        <v>0</v>
      </c>
      <c r="K305" s="26">
        <v>0</v>
      </c>
      <c r="L305" s="26">
        <v>0</v>
      </c>
      <c r="M305" s="26">
        <v>0</v>
      </c>
      <c r="N305" s="26">
        <v>0</v>
      </c>
      <c r="O305" s="26">
        <v>0</v>
      </c>
      <c r="P305" s="83">
        <v>-89.33</v>
      </c>
      <c r="Q305" s="39">
        <v>60311005</v>
      </c>
      <c r="R305" s="46" t="s">
        <v>1079</v>
      </c>
      <c r="S305" s="46" t="s">
        <v>1080</v>
      </c>
      <c r="T305" s="46" t="s">
        <v>1097</v>
      </c>
      <c r="U305" t="str">
        <f>IFERROR(+VLOOKUP(H305,'DISPOSITIVOS ACTIVOS'!B:D,3,FALSE),"IPHONE")</f>
        <v xml:space="preserve">Galaxy </v>
      </c>
      <c r="V305" t="str">
        <f>IFERROR(+VLOOKUP(H305,'[1]Migracion feb25 Ver to ATT'!$B:$G,6,FALSE), "NO MIGRADO")</f>
        <v xml:space="preserve">Galaxy </v>
      </c>
      <c r="W305" s="26">
        <v>15</v>
      </c>
    </row>
    <row r="306" spans="1:23" x14ac:dyDescent="0.3">
      <c r="A306" s="39" t="s">
        <v>1206</v>
      </c>
      <c r="B306" s="46" t="s">
        <v>22</v>
      </c>
      <c r="C306" s="112">
        <v>45826</v>
      </c>
      <c r="D306" s="46">
        <v>6</v>
      </c>
      <c r="E306" s="46">
        <v>2025</v>
      </c>
      <c r="F306" s="46">
        <v>9</v>
      </c>
      <c r="G306" s="50" t="s">
        <v>190</v>
      </c>
      <c r="H306" s="113" t="s">
        <v>189</v>
      </c>
      <c r="I306" s="108" t="s">
        <v>1239</v>
      </c>
      <c r="J306" s="26">
        <v>0</v>
      </c>
      <c r="K306" s="26">
        <v>0</v>
      </c>
      <c r="L306" s="26">
        <v>0</v>
      </c>
      <c r="M306" s="26">
        <v>0</v>
      </c>
      <c r="N306" s="26">
        <v>0</v>
      </c>
      <c r="O306" s="26">
        <v>0</v>
      </c>
      <c r="P306" s="83">
        <v>-89.33</v>
      </c>
      <c r="Q306" s="39">
        <v>60311005</v>
      </c>
      <c r="R306" s="46" t="s">
        <v>1065</v>
      </c>
      <c r="S306" s="46" t="s">
        <v>1100</v>
      </c>
      <c r="T306" s="46" t="s">
        <v>1101</v>
      </c>
      <c r="U306">
        <f>IFERROR(+VLOOKUP(H306,'DISPOSITIVOS ACTIVOS'!B:D,3,FALSE),"IPHONE")</f>
        <v>0</v>
      </c>
      <c r="V306" t="str">
        <f>IFERROR(+VLOOKUP(H306,'[1]Migracion feb25 Ver to ATT'!$B:$G,6,FALSE), "NO MIGRADO")</f>
        <v>Iphone</v>
      </c>
      <c r="W306" s="26">
        <v>15</v>
      </c>
    </row>
    <row r="307" spans="1:23" x14ac:dyDescent="0.3">
      <c r="A307" s="39" t="s">
        <v>1206</v>
      </c>
      <c r="B307" s="46" t="s">
        <v>22</v>
      </c>
      <c r="C307" s="109">
        <v>45826</v>
      </c>
      <c r="D307" s="46">
        <v>6</v>
      </c>
      <c r="E307" s="46">
        <v>2025</v>
      </c>
      <c r="F307" s="46">
        <v>9</v>
      </c>
      <c r="G307" s="47" t="s">
        <v>166</v>
      </c>
      <c r="H307" s="110" t="s">
        <v>192</v>
      </c>
      <c r="I307" s="111" t="s">
        <v>1240</v>
      </c>
      <c r="J307" s="26">
        <v>0</v>
      </c>
      <c r="K307" s="26">
        <v>0</v>
      </c>
      <c r="L307" s="26">
        <v>0</v>
      </c>
      <c r="M307" s="26">
        <v>0</v>
      </c>
      <c r="N307" s="26">
        <v>0</v>
      </c>
      <c r="O307" s="26">
        <v>0</v>
      </c>
      <c r="P307" s="83">
        <v>-89.33</v>
      </c>
      <c r="Q307" s="39">
        <v>60311005</v>
      </c>
      <c r="R307" s="46" t="s">
        <v>1079</v>
      </c>
      <c r="S307" s="46" t="s">
        <v>1080</v>
      </c>
      <c r="T307" s="46" t="s">
        <v>1097</v>
      </c>
      <c r="U307" t="str">
        <f>IFERROR(+VLOOKUP(H307,'DISPOSITIVOS ACTIVOS'!B:D,3,FALSE),"IPHONE")</f>
        <v xml:space="preserve">Galaxy </v>
      </c>
      <c r="V307" t="str">
        <f>IFERROR(+VLOOKUP(H307,'[1]Migracion feb25 Ver to ATT'!$B:$G,6,FALSE), "NO MIGRADO")</f>
        <v xml:space="preserve">Galaxy </v>
      </c>
      <c r="W307" s="26">
        <v>15</v>
      </c>
    </row>
    <row r="308" spans="1:23" x14ac:dyDescent="0.3">
      <c r="A308" s="39" t="s">
        <v>1206</v>
      </c>
      <c r="B308" s="46" t="s">
        <v>22</v>
      </c>
      <c r="C308" s="112">
        <v>45826</v>
      </c>
      <c r="D308" s="46">
        <v>6</v>
      </c>
      <c r="E308" s="46">
        <v>2025</v>
      </c>
      <c r="F308" s="46">
        <v>9</v>
      </c>
      <c r="G308" s="50" t="s">
        <v>196</v>
      </c>
      <c r="H308" s="113" t="s">
        <v>195</v>
      </c>
      <c r="I308" s="108" t="s">
        <v>1241</v>
      </c>
      <c r="J308" s="26">
        <v>0</v>
      </c>
      <c r="K308" s="26">
        <v>0</v>
      </c>
      <c r="L308" s="26">
        <v>0</v>
      </c>
      <c r="M308" s="26">
        <v>0</v>
      </c>
      <c r="N308" s="26">
        <v>0</v>
      </c>
      <c r="O308" s="26">
        <v>0</v>
      </c>
      <c r="P308" s="83">
        <v>-89.33</v>
      </c>
      <c r="Q308" s="39">
        <v>60311005</v>
      </c>
      <c r="R308" s="46" t="s">
        <v>1079</v>
      </c>
      <c r="S308" s="46" t="s">
        <v>1080</v>
      </c>
      <c r="T308" s="46" t="s">
        <v>1134</v>
      </c>
      <c r="U308" t="str">
        <f>IFERROR(+VLOOKUP(H308,'DISPOSITIVOS ACTIVOS'!B:D,3,FALSE),"IPHONE")</f>
        <v xml:space="preserve">Galaxy </v>
      </c>
      <c r="V308" t="str">
        <f>IFERROR(+VLOOKUP(H308,'[1]Migracion feb25 Ver to ATT'!$B:$G,6,FALSE), "NO MIGRADO")</f>
        <v xml:space="preserve">Galaxy </v>
      </c>
      <c r="W308" s="26">
        <v>15</v>
      </c>
    </row>
    <row r="309" spans="1:23" x14ac:dyDescent="0.3">
      <c r="A309" s="39" t="s">
        <v>1206</v>
      </c>
      <c r="B309" s="46" t="s">
        <v>22</v>
      </c>
      <c r="C309" s="109">
        <v>45826</v>
      </c>
      <c r="D309" s="46">
        <v>6</v>
      </c>
      <c r="E309" s="46">
        <v>2025</v>
      </c>
      <c r="F309" s="46">
        <v>9</v>
      </c>
      <c r="G309" s="50" t="s">
        <v>116</v>
      </c>
      <c r="H309" s="110" t="s">
        <v>199</v>
      </c>
      <c r="I309" s="111" t="s">
        <v>1242</v>
      </c>
      <c r="J309" s="26">
        <v>0</v>
      </c>
      <c r="K309" s="26">
        <v>0</v>
      </c>
      <c r="L309" s="26">
        <v>0</v>
      </c>
      <c r="M309" s="26">
        <v>0</v>
      </c>
      <c r="N309" s="26">
        <v>0</v>
      </c>
      <c r="O309" s="26">
        <v>0</v>
      </c>
      <c r="P309" s="83">
        <v>-89.33</v>
      </c>
      <c r="Q309" s="39">
        <v>10145005</v>
      </c>
      <c r="R309" s="46"/>
      <c r="S309" s="46"/>
      <c r="T309" s="46"/>
      <c r="U309" t="str">
        <f>IFERROR(+VLOOKUP(H309,'DISPOSITIVOS ACTIVOS'!B:D,3,FALSE),"IPHONE")</f>
        <v>Iphone</v>
      </c>
      <c r="V309" t="str">
        <f>IFERROR(+VLOOKUP(H309,'[1]Migracion feb25 Ver to ATT'!$B:$G,6,FALSE), "NO MIGRADO")</f>
        <v>Iphone</v>
      </c>
      <c r="W309" s="26">
        <v>15</v>
      </c>
    </row>
    <row r="310" spans="1:23" x14ac:dyDescent="0.3">
      <c r="A310" s="39" t="s">
        <v>1206</v>
      </c>
      <c r="B310" s="46" t="s">
        <v>22</v>
      </c>
      <c r="C310" s="112">
        <v>45826</v>
      </c>
      <c r="D310" s="46">
        <v>6</v>
      </c>
      <c r="E310" s="46">
        <v>2025</v>
      </c>
      <c r="F310" s="46">
        <v>9</v>
      </c>
      <c r="G310" s="50" t="s">
        <v>203</v>
      </c>
      <c r="H310" s="113" t="s">
        <v>202</v>
      </c>
      <c r="I310" s="108" t="s">
        <v>1243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83">
        <v>-54.33</v>
      </c>
      <c r="Q310" s="39">
        <v>60311005</v>
      </c>
      <c r="R310" s="46" t="s">
        <v>1065</v>
      </c>
      <c r="S310" s="46" t="s">
        <v>1066</v>
      </c>
      <c r="T310" s="46" t="s">
        <v>1084</v>
      </c>
      <c r="U310" t="str">
        <f>IFERROR(+VLOOKUP(H310,'DISPOSITIVOS ACTIVOS'!B:D,3,FALSE),"IPHONE")</f>
        <v>Iphone</v>
      </c>
      <c r="V310" t="str">
        <f>IFERROR(+VLOOKUP(H310,'[1]Migracion feb25 Ver to ATT'!$B:$G,6,FALSE), "NO MIGRADO")</f>
        <v>Iphone</v>
      </c>
      <c r="W310" s="26">
        <v>15</v>
      </c>
    </row>
    <row r="311" spans="1:23" x14ac:dyDescent="0.3">
      <c r="A311" s="39" t="s">
        <v>1206</v>
      </c>
      <c r="B311" s="46" t="s">
        <v>22</v>
      </c>
      <c r="C311" s="112">
        <v>45826</v>
      </c>
      <c r="D311" s="46">
        <v>6</v>
      </c>
      <c r="E311" s="46">
        <v>2025</v>
      </c>
      <c r="F311" s="46">
        <v>9</v>
      </c>
      <c r="G311" s="47" t="s">
        <v>209</v>
      </c>
      <c r="H311" s="113" t="s">
        <v>208</v>
      </c>
      <c r="I311" s="108" t="s">
        <v>1244</v>
      </c>
      <c r="J311" s="26">
        <v>0</v>
      </c>
      <c r="K311" s="26">
        <v>0</v>
      </c>
      <c r="L311" s="26">
        <v>0</v>
      </c>
      <c r="M311" s="26">
        <v>0</v>
      </c>
      <c r="N311" s="26">
        <v>0</v>
      </c>
      <c r="O311" s="26">
        <v>0</v>
      </c>
      <c r="P311" s="83">
        <v>-89.33</v>
      </c>
      <c r="Q311" s="39">
        <v>60311005</v>
      </c>
      <c r="R311" s="46" t="s">
        <v>1065</v>
      </c>
      <c r="S311" s="46" t="s">
        <v>1066</v>
      </c>
      <c r="T311" s="46" t="s">
        <v>1085</v>
      </c>
      <c r="U311" t="str">
        <f>IFERROR(+VLOOKUP(H311,'DISPOSITIVOS ACTIVOS'!B:D,3,FALSE),"IPHONE")</f>
        <v>Iphone</v>
      </c>
      <c r="V311" t="str">
        <f>IFERROR(+VLOOKUP(H311,'[1]Migracion feb25 Ver to ATT'!$B:$G,6,FALSE), "NO MIGRADO")</f>
        <v>Iphone</v>
      </c>
      <c r="W311" s="26">
        <v>15</v>
      </c>
    </row>
    <row r="312" spans="1:23" x14ac:dyDescent="0.3">
      <c r="A312" s="39" t="s">
        <v>1206</v>
      </c>
      <c r="B312" s="46" t="s">
        <v>22</v>
      </c>
      <c r="C312" s="112">
        <v>45826</v>
      </c>
      <c r="D312" s="46">
        <v>6</v>
      </c>
      <c r="E312" s="46">
        <v>2025</v>
      </c>
      <c r="F312" s="46">
        <v>9</v>
      </c>
      <c r="G312" s="47" t="s">
        <v>211</v>
      </c>
      <c r="H312" s="110" t="s">
        <v>212</v>
      </c>
      <c r="I312" s="111" t="s">
        <v>1245</v>
      </c>
      <c r="J312" s="26">
        <v>0</v>
      </c>
      <c r="K312" s="26">
        <v>0</v>
      </c>
      <c r="L312" s="26">
        <v>0</v>
      </c>
      <c r="M312" s="26">
        <v>0</v>
      </c>
      <c r="N312" s="26">
        <v>0</v>
      </c>
      <c r="O312" s="26">
        <v>0</v>
      </c>
      <c r="P312" s="83">
        <v>-89.33</v>
      </c>
      <c r="Q312" s="39">
        <v>60311005</v>
      </c>
      <c r="R312" s="46" t="s">
        <v>1065</v>
      </c>
      <c r="S312" s="46" t="s">
        <v>1066</v>
      </c>
      <c r="T312" s="46" t="s">
        <v>1067</v>
      </c>
      <c r="U312" t="str">
        <f>IFERROR(+VLOOKUP(H312,'DISPOSITIVOS ACTIVOS'!B:D,3,FALSE),"IPHONE")</f>
        <v>Iphone</v>
      </c>
      <c r="V312" t="str">
        <f>IFERROR(+VLOOKUP(H312,'[1]Migracion feb25 Ver to ATT'!$B:$G,6,FALSE), "NO MIGRADO")</f>
        <v>Iphone</v>
      </c>
      <c r="W312" s="26">
        <v>15</v>
      </c>
    </row>
    <row r="313" spans="1:23" x14ac:dyDescent="0.3">
      <c r="A313" s="39" t="s">
        <v>1206</v>
      </c>
      <c r="B313" s="46" t="s">
        <v>22</v>
      </c>
      <c r="C313" s="112">
        <v>45826</v>
      </c>
      <c r="D313" s="46">
        <v>6</v>
      </c>
      <c r="E313" s="46">
        <v>2025</v>
      </c>
      <c r="F313" s="46">
        <v>9</v>
      </c>
      <c r="G313" s="50" t="s">
        <v>410</v>
      </c>
      <c r="H313" s="113" t="s">
        <v>491</v>
      </c>
      <c r="I313" s="108" t="s">
        <v>1246</v>
      </c>
      <c r="J313" s="26">
        <v>0</v>
      </c>
      <c r="K313" s="26">
        <v>0</v>
      </c>
      <c r="L313" s="26">
        <v>0</v>
      </c>
      <c r="M313" s="26">
        <v>0</v>
      </c>
      <c r="N313" s="26">
        <v>0</v>
      </c>
      <c r="O313" s="26">
        <v>0</v>
      </c>
      <c r="P313" s="83">
        <v>-51.66</v>
      </c>
      <c r="Q313" s="39">
        <v>10145005</v>
      </c>
      <c r="R313" s="46"/>
      <c r="S313" s="46"/>
      <c r="T313" s="46"/>
      <c r="U313">
        <f>IFERROR(+VLOOKUP(H313,'DISPOSITIVOS ACTIVOS'!B:D,3,FALSE),"IPHONE")</f>
        <v>0</v>
      </c>
      <c r="V313" t="str">
        <f>IFERROR(+VLOOKUP(H313,'[1]Migracion feb25 Ver to ATT'!$B:$G,6,FALSE), "NO MIGRADO")</f>
        <v>NO MIGRADO</v>
      </c>
      <c r="W313" s="26">
        <v>25</v>
      </c>
    </row>
    <row r="314" spans="1:23" x14ac:dyDescent="0.3">
      <c r="A314" s="39" t="s">
        <v>1206</v>
      </c>
      <c r="B314" s="46" t="s">
        <v>22</v>
      </c>
      <c r="C314" s="112">
        <v>45826</v>
      </c>
      <c r="D314" s="46">
        <v>6</v>
      </c>
      <c r="E314" s="46">
        <v>2025</v>
      </c>
      <c r="F314" s="46">
        <v>9</v>
      </c>
      <c r="G314" s="47" t="s">
        <v>236</v>
      </c>
      <c r="H314" s="110" t="s">
        <v>235</v>
      </c>
      <c r="I314" s="111" t="s">
        <v>1247</v>
      </c>
      <c r="J314" s="26">
        <v>0</v>
      </c>
      <c r="K314" s="26">
        <v>0</v>
      </c>
      <c r="L314" s="26">
        <v>0</v>
      </c>
      <c r="M314" s="26">
        <v>0</v>
      </c>
      <c r="N314" s="26">
        <v>0</v>
      </c>
      <c r="O314" s="26">
        <v>0</v>
      </c>
      <c r="P314" s="83">
        <v>-89.33</v>
      </c>
      <c r="Q314" s="39">
        <v>60311005</v>
      </c>
      <c r="R314" s="46" t="s">
        <v>1065</v>
      </c>
      <c r="S314" s="46" t="s">
        <v>1066</v>
      </c>
      <c r="T314" s="46" t="s">
        <v>1067</v>
      </c>
      <c r="U314" t="str">
        <f>IFERROR(+VLOOKUP(H314,'DISPOSITIVOS ACTIVOS'!B:D,3,FALSE),"IPHONE")</f>
        <v>Iphone</v>
      </c>
      <c r="V314" t="str">
        <f>IFERROR(+VLOOKUP(H314,'[1]Migracion feb25 Ver to ATT'!$B:$G,6,FALSE), "NO MIGRADO")</f>
        <v>Iphone</v>
      </c>
      <c r="W314" s="26">
        <v>15</v>
      </c>
    </row>
    <row r="315" spans="1:23" x14ac:dyDescent="0.3">
      <c r="A315" s="39" t="s">
        <v>1206</v>
      </c>
      <c r="B315" s="46" t="s">
        <v>22</v>
      </c>
      <c r="C315" s="112">
        <v>45826</v>
      </c>
      <c r="D315" s="46">
        <v>6</v>
      </c>
      <c r="E315" s="46">
        <v>2025</v>
      </c>
      <c r="F315" s="46">
        <v>9</v>
      </c>
      <c r="G315" s="47" t="s">
        <v>240</v>
      </c>
      <c r="H315" s="113" t="s">
        <v>239</v>
      </c>
      <c r="I315" s="108" t="s">
        <v>1248</v>
      </c>
      <c r="J315" s="26">
        <v>0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83">
        <v>-89.33</v>
      </c>
      <c r="Q315" s="39">
        <v>60311005</v>
      </c>
      <c r="R315" s="46" t="s">
        <v>1065</v>
      </c>
      <c r="S315" s="46" t="s">
        <v>1066</v>
      </c>
      <c r="T315" s="46" t="s">
        <v>1122</v>
      </c>
      <c r="U315" t="str">
        <f>IFERROR(+VLOOKUP(H315,'DISPOSITIVOS ACTIVOS'!B:D,3,FALSE),"IPHONE")</f>
        <v>Iphone</v>
      </c>
      <c r="V315" t="str">
        <f>IFERROR(+VLOOKUP(H315,'[1]Migracion feb25 Ver to ATT'!$B:$G,6,FALSE), "NO MIGRADO")</f>
        <v>Iphone</v>
      </c>
      <c r="W315" s="26">
        <v>15</v>
      </c>
    </row>
    <row r="316" spans="1:23" x14ac:dyDescent="0.3">
      <c r="A316" s="39" t="s">
        <v>1206</v>
      </c>
      <c r="B316" s="46" t="s">
        <v>22</v>
      </c>
      <c r="C316" s="112">
        <v>45826</v>
      </c>
      <c r="D316" s="46">
        <v>6</v>
      </c>
      <c r="E316" s="46">
        <v>2025</v>
      </c>
      <c r="F316" s="46">
        <v>9</v>
      </c>
      <c r="G316" s="47" t="s">
        <v>244</v>
      </c>
      <c r="H316" s="110" t="s">
        <v>243</v>
      </c>
      <c r="I316" s="111" t="s">
        <v>1249</v>
      </c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  <c r="P316" s="83">
        <v>-89.33</v>
      </c>
      <c r="Q316" s="39">
        <v>60311005</v>
      </c>
      <c r="R316" s="46" t="s">
        <v>1079</v>
      </c>
      <c r="S316" s="46" t="s">
        <v>1080</v>
      </c>
      <c r="T316" s="46" t="s">
        <v>1097</v>
      </c>
      <c r="U316" t="str">
        <f>IFERROR(+VLOOKUP(H316,'DISPOSITIVOS ACTIVOS'!B:D,3,FALSE),"IPHONE")</f>
        <v xml:space="preserve">Galaxy </v>
      </c>
      <c r="V316" t="str">
        <f>IFERROR(+VLOOKUP(H316,'[1]Migracion feb25 Ver to ATT'!$B:$G,6,FALSE), "NO MIGRADO")</f>
        <v xml:space="preserve">Galaxy </v>
      </c>
      <c r="W316" s="26">
        <v>15</v>
      </c>
    </row>
    <row r="317" spans="1:23" x14ac:dyDescent="0.3">
      <c r="A317" s="39" t="s">
        <v>1206</v>
      </c>
      <c r="B317" s="46" t="s">
        <v>22</v>
      </c>
      <c r="C317" s="112">
        <v>45826</v>
      </c>
      <c r="D317" s="46">
        <v>6</v>
      </c>
      <c r="E317" s="46">
        <v>2025</v>
      </c>
      <c r="F317" s="46">
        <v>9</v>
      </c>
      <c r="G317" s="47" t="s">
        <v>248</v>
      </c>
      <c r="H317" s="113" t="s">
        <v>247</v>
      </c>
      <c r="I317" s="108" t="s">
        <v>1250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83">
        <v>-89.33</v>
      </c>
      <c r="Q317" s="39">
        <v>60311005</v>
      </c>
      <c r="R317" s="46" t="s">
        <v>1079</v>
      </c>
      <c r="S317" s="46" t="s">
        <v>1080</v>
      </c>
      <c r="T317" s="46" t="s">
        <v>1081</v>
      </c>
      <c r="U317" t="str">
        <f>IFERROR(+VLOOKUP(H317,'DISPOSITIVOS ACTIVOS'!B:D,3,FALSE),"IPHONE")</f>
        <v xml:space="preserve">Galaxy </v>
      </c>
      <c r="V317" t="str">
        <f>IFERROR(+VLOOKUP(H317,'[1]Migracion feb25 Ver to ATT'!$B:$G,6,FALSE), "NO MIGRADO")</f>
        <v xml:space="preserve">Galaxy </v>
      </c>
      <c r="W317" s="26">
        <v>15</v>
      </c>
    </row>
    <row r="318" spans="1:23" x14ac:dyDescent="0.3">
      <c r="A318" s="39" t="s">
        <v>1206</v>
      </c>
      <c r="B318" s="46" t="s">
        <v>22</v>
      </c>
      <c r="C318" s="112">
        <v>45826</v>
      </c>
      <c r="D318" s="46">
        <v>6</v>
      </c>
      <c r="E318" s="46">
        <v>2025</v>
      </c>
      <c r="F318" s="46">
        <v>9</v>
      </c>
      <c r="G318" s="47" t="s">
        <v>252</v>
      </c>
      <c r="H318" s="110" t="s">
        <v>251</v>
      </c>
      <c r="I318" s="111" t="s">
        <v>1251</v>
      </c>
      <c r="J318" s="26">
        <v>0</v>
      </c>
      <c r="K318" s="26">
        <v>0</v>
      </c>
      <c r="L318" s="26">
        <v>0</v>
      </c>
      <c r="M318" s="26">
        <v>0</v>
      </c>
      <c r="N318" s="26">
        <v>0</v>
      </c>
      <c r="O318" s="26">
        <v>0</v>
      </c>
      <c r="P318" s="83">
        <v>-89.33</v>
      </c>
      <c r="Q318" s="39">
        <v>60311005</v>
      </c>
      <c r="R318" s="46" t="s">
        <v>1079</v>
      </c>
      <c r="S318" s="46" t="s">
        <v>1080</v>
      </c>
      <c r="T318" s="46" t="s">
        <v>1134</v>
      </c>
      <c r="U318" t="str">
        <f>IFERROR(+VLOOKUP(H318,'DISPOSITIVOS ACTIVOS'!B:D,3,FALSE),"IPHONE")</f>
        <v xml:space="preserve">Galaxy </v>
      </c>
      <c r="V318" t="str">
        <f>IFERROR(+VLOOKUP(H318,'[1]Migracion feb25 Ver to ATT'!$B:$G,6,FALSE), "NO MIGRADO")</f>
        <v xml:space="preserve">Galaxy </v>
      </c>
      <c r="W318" s="26">
        <v>15</v>
      </c>
    </row>
    <row r="319" spans="1:23" x14ac:dyDescent="0.3">
      <c r="A319" s="39" t="s">
        <v>1206</v>
      </c>
      <c r="B319" s="46" t="s">
        <v>22</v>
      </c>
      <c r="C319" s="112">
        <v>45826</v>
      </c>
      <c r="D319" s="46">
        <v>6</v>
      </c>
      <c r="E319" s="46">
        <v>2025</v>
      </c>
      <c r="F319" s="46">
        <v>9</v>
      </c>
      <c r="G319" s="50" t="s">
        <v>254</v>
      </c>
      <c r="H319" s="113" t="s">
        <v>253</v>
      </c>
      <c r="I319" s="108" t="s">
        <v>1252</v>
      </c>
      <c r="J319" s="26">
        <v>0</v>
      </c>
      <c r="K319" s="26">
        <v>0</v>
      </c>
      <c r="L319" s="26">
        <v>0</v>
      </c>
      <c r="M319" s="26">
        <v>0</v>
      </c>
      <c r="N319" s="26">
        <v>0</v>
      </c>
      <c r="O319" s="26">
        <v>0</v>
      </c>
      <c r="P319" s="83">
        <v>-81</v>
      </c>
      <c r="Q319" s="39">
        <v>60311005</v>
      </c>
      <c r="R319" s="46" t="s">
        <v>1079</v>
      </c>
      <c r="S319" s="46" t="s">
        <v>1080</v>
      </c>
      <c r="T319" s="46" t="s">
        <v>1097</v>
      </c>
      <c r="U319" t="str">
        <f>IFERROR(+VLOOKUP(H319,'DISPOSITIVOS ACTIVOS'!B:D,3,FALSE),"IPHONE")</f>
        <v xml:space="preserve">Galaxy </v>
      </c>
      <c r="V319" t="str">
        <f>IFERROR(+VLOOKUP(H319,'[1]Migracion feb25 Ver to ATT'!$B:$G,6,FALSE), "NO MIGRADO")</f>
        <v xml:space="preserve">Galaxy </v>
      </c>
      <c r="W319" s="26">
        <v>15</v>
      </c>
    </row>
    <row r="320" spans="1:23" x14ac:dyDescent="0.3">
      <c r="A320" s="97" t="s">
        <v>1206</v>
      </c>
      <c r="B320" s="92" t="s">
        <v>22</v>
      </c>
      <c r="C320" s="115">
        <v>45826</v>
      </c>
      <c r="D320" s="92">
        <v>6</v>
      </c>
      <c r="E320" s="92">
        <v>2025</v>
      </c>
      <c r="F320" s="92">
        <v>9</v>
      </c>
      <c r="G320" s="93" t="s">
        <v>258</v>
      </c>
      <c r="H320" s="116" t="s">
        <v>257</v>
      </c>
      <c r="I320" s="117" t="s">
        <v>1253</v>
      </c>
      <c r="J320" s="118">
        <v>0</v>
      </c>
      <c r="K320" s="118">
        <v>0</v>
      </c>
      <c r="L320" s="118">
        <v>0</v>
      </c>
      <c r="M320" s="118">
        <v>0</v>
      </c>
      <c r="N320" s="118">
        <v>0</v>
      </c>
      <c r="O320" s="118">
        <v>0</v>
      </c>
      <c r="P320" s="104">
        <v>-31.33</v>
      </c>
      <c r="Q320" s="97">
        <v>60311005</v>
      </c>
      <c r="R320" s="92" t="s">
        <v>1065</v>
      </c>
      <c r="S320" s="92" t="s">
        <v>1100</v>
      </c>
      <c r="T320" s="92" t="s">
        <v>1139</v>
      </c>
      <c r="U320" t="str">
        <f>IFERROR(+VLOOKUP(H320,'DISPOSITIVOS ACTIVOS'!B:D,3,FALSE),"IPHONE")</f>
        <v>Iphone</v>
      </c>
      <c r="V320" t="str">
        <f>IFERROR(+VLOOKUP(H320,'[1]Migracion feb25 Ver to ATT'!$B:$G,6,FALSE), "NO MIGRADO")</f>
        <v>Iphone</v>
      </c>
      <c r="W320" s="26">
        <v>15</v>
      </c>
    </row>
    <row r="324" spans="2:16" x14ac:dyDescent="0.3">
      <c r="O324" t="s">
        <v>1063</v>
      </c>
      <c r="P324" t="s">
        <v>1141</v>
      </c>
    </row>
    <row r="325" spans="2:16" x14ac:dyDescent="0.3">
      <c r="N325" t="s">
        <v>1257</v>
      </c>
      <c r="O325" s="40">
        <f>+SUM(P2:P131)</f>
        <v>5263.4399999999932</v>
      </c>
      <c r="P325" s="40">
        <f>+SUM(P132:P273)</f>
        <v>6057.180000000003</v>
      </c>
    </row>
    <row r="326" spans="2:16" x14ac:dyDescent="0.3">
      <c r="N326" t="s">
        <v>1258</v>
      </c>
      <c r="O326" s="40">
        <f>+SUM(P274:P320)</f>
        <v>-4019.6599999999989</v>
      </c>
    </row>
    <row r="327" spans="2:16" x14ac:dyDescent="0.3">
      <c r="N327" t="s">
        <v>1261</v>
      </c>
      <c r="O327" s="40">
        <f>+O325+O326</f>
        <v>1243.7799999999943</v>
      </c>
    </row>
    <row r="328" spans="2:16" x14ac:dyDescent="0.3">
      <c r="N328" t="s">
        <v>1260</v>
      </c>
      <c r="O328" s="40">
        <f>+SUM(W2:W131)</f>
        <v>2620</v>
      </c>
      <c r="P328" s="40">
        <f>+SUM(W132:W273)</f>
        <v>2910</v>
      </c>
    </row>
    <row r="329" spans="2:16" x14ac:dyDescent="0.3">
      <c r="N329" s="121" t="s">
        <v>1259</v>
      </c>
      <c r="O329" s="122">
        <f>+O327-O328</f>
        <v>-1376.2200000000057</v>
      </c>
      <c r="P329" s="122">
        <f>+P325-P328</f>
        <v>3147.180000000003</v>
      </c>
    </row>
    <row r="331" spans="2:16" x14ac:dyDescent="0.3">
      <c r="N331" s="120" t="s">
        <v>1262</v>
      </c>
      <c r="O331" s="122">
        <f>+O329+P329</f>
        <v>1770.9599999999973</v>
      </c>
    </row>
    <row r="336" spans="2:16" x14ac:dyDescent="0.3">
      <c r="B336" t="s">
        <v>1268</v>
      </c>
      <c r="C336" t="s">
        <v>1276</v>
      </c>
      <c r="D336" t="s">
        <v>1263</v>
      </c>
      <c r="E336" t="s">
        <v>1264</v>
      </c>
    </row>
    <row r="337" spans="2:5" x14ac:dyDescent="0.3">
      <c r="B337" t="s">
        <v>1269</v>
      </c>
      <c r="C337" s="26">
        <v>13650</v>
      </c>
      <c r="D337" s="26">
        <v>0</v>
      </c>
      <c r="E337" s="26">
        <v>0</v>
      </c>
    </row>
    <row r="338" spans="2:5" x14ac:dyDescent="0.3">
      <c r="B338" t="s">
        <v>1270</v>
      </c>
      <c r="C338" s="26">
        <v>6238.2299999999877</v>
      </c>
      <c r="D338" s="26">
        <v>2585</v>
      </c>
      <c r="E338" s="26">
        <v>0</v>
      </c>
    </row>
    <row r="339" spans="2:5" x14ac:dyDescent="0.3">
      <c r="B339" t="s">
        <v>1271</v>
      </c>
      <c r="C339" s="26">
        <v>3827.9699999999971</v>
      </c>
      <c r="D339" s="26">
        <v>2157.7799999999997</v>
      </c>
      <c r="E339" s="26">
        <v>0</v>
      </c>
    </row>
    <row r="340" spans="2:5" x14ac:dyDescent="0.3">
      <c r="B340" t="s">
        <v>1272</v>
      </c>
      <c r="C340" s="26">
        <v>5246.0499999999929</v>
      </c>
      <c r="D340" s="26">
        <v>2780</v>
      </c>
      <c r="E340" s="26">
        <v>0</v>
      </c>
    </row>
    <row r="341" spans="2:5" x14ac:dyDescent="0.3">
      <c r="B341" t="s">
        <v>1273</v>
      </c>
      <c r="C341" s="26">
        <v>5263.44</v>
      </c>
      <c r="D341" s="26">
        <v>2620</v>
      </c>
      <c r="E341" s="26">
        <v>-4019.66</v>
      </c>
    </row>
    <row r="342" spans="2:5" x14ac:dyDescent="0.3">
      <c r="B342" t="s">
        <v>1274</v>
      </c>
      <c r="C342" s="26">
        <v>6057.18</v>
      </c>
      <c r="D342" s="26">
        <v>2910</v>
      </c>
      <c r="E342" s="26"/>
    </row>
    <row r="343" spans="2:5" x14ac:dyDescent="0.3">
      <c r="B343" t="s">
        <v>1275</v>
      </c>
      <c r="C343" s="26">
        <v>5797.19</v>
      </c>
      <c r="D343" s="26"/>
      <c r="E343" s="26"/>
    </row>
    <row r="344" spans="2:5" x14ac:dyDescent="0.3">
      <c r="B344" s="123" t="s">
        <v>1266</v>
      </c>
      <c r="C344" s="124">
        <f>+SUM(C337:C343)</f>
        <v>46080.059999999983</v>
      </c>
      <c r="D344" s="124">
        <f t="shared" ref="D344:E344" si="0">+SUM(D337:D343)</f>
        <v>13052.779999999999</v>
      </c>
      <c r="E344" s="124">
        <f t="shared" si="0"/>
        <v>-4019.66</v>
      </c>
    </row>
    <row r="346" spans="2:5" x14ac:dyDescent="0.3">
      <c r="B346" s="125" t="s">
        <v>1267</v>
      </c>
      <c r="C346" s="126">
        <f>+C344-D344+E344</f>
        <v>29007.619999999984</v>
      </c>
    </row>
    <row r="348" spans="2:5" x14ac:dyDescent="0.3">
      <c r="C348" s="40"/>
    </row>
  </sheetData>
  <autoFilter ref="A1:V320" xr:uid="{5A6C6C6D-1EF6-4A7F-BB8D-C03ECEB51CFA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4C6F-F0F7-49E0-8A29-D1A9653DE07F}">
  <dimension ref="A1:C7"/>
  <sheetViews>
    <sheetView workbookViewId="0">
      <selection activeCell="B4" sqref="B4:C6"/>
    </sheetView>
  </sheetViews>
  <sheetFormatPr defaultRowHeight="14.4" x14ac:dyDescent="0.3"/>
  <cols>
    <col min="1" max="1" width="13" bestFit="1" customWidth="1"/>
    <col min="2" max="2" width="22.77734375" bestFit="1" customWidth="1"/>
    <col min="3" max="3" width="23.21875" bestFit="1" customWidth="1"/>
  </cols>
  <sheetData>
    <row r="1" spans="1:3" x14ac:dyDescent="0.3">
      <c r="A1" s="38" t="s">
        <v>4</v>
      </c>
      <c r="B1" t="s">
        <v>1265</v>
      </c>
    </row>
    <row r="3" spans="1:3" x14ac:dyDescent="0.3">
      <c r="A3" s="38" t="s">
        <v>0</v>
      </c>
      <c r="B3" t="s">
        <v>1</v>
      </c>
      <c r="C3" t="s">
        <v>2</v>
      </c>
    </row>
    <row r="4" spans="1:3" x14ac:dyDescent="0.3">
      <c r="A4" s="39">
        <v>3</v>
      </c>
      <c r="B4" s="40">
        <v>6238.2299999999877</v>
      </c>
      <c r="C4" s="40">
        <v>2585</v>
      </c>
    </row>
    <row r="5" spans="1:3" x14ac:dyDescent="0.3">
      <c r="A5" s="39">
        <v>4</v>
      </c>
      <c r="B5" s="40">
        <v>3827.9699999999971</v>
      </c>
      <c r="C5" s="40">
        <v>2157.7799999999997</v>
      </c>
    </row>
    <row r="6" spans="1:3" x14ac:dyDescent="0.3">
      <c r="A6" s="39">
        <v>5</v>
      </c>
      <c r="B6" s="40">
        <v>5246.0499999999929</v>
      </c>
      <c r="C6" s="40">
        <v>2780</v>
      </c>
    </row>
    <row r="7" spans="1:3" x14ac:dyDescent="0.3">
      <c r="A7" s="39" t="s">
        <v>3</v>
      </c>
      <c r="B7" s="40">
        <v>15312.249999999978</v>
      </c>
      <c r="C7" s="40">
        <v>7522.78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AC8B-7BEF-4157-A920-12BF149B522D}">
  <sheetPr>
    <tabColor rgb="FFFF0000"/>
  </sheetPr>
  <dimension ref="A1:S401"/>
  <sheetViews>
    <sheetView showGridLines="0" topLeftCell="F340" workbookViewId="0">
      <selection activeCell="O360" sqref="O360"/>
    </sheetView>
  </sheetViews>
  <sheetFormatPr defaultRowHeight="14.4" x14ac:dyDescent="0.3"/>
  <cols>
    <col min="4" max="4" width="12.6640625" bestFit="1" customWidth="1"/>
    <col min="5" max="5" width="24.33203125" bestFit="1" customWidth="1"/>
    <col min="6" max="7" width="8.44140625" bestFit="1" customWidth="1"/>
    <col min="8" max="8" width="14.109375" bestFit="1" customWidth="1"/>
    <col min="9" max="9" width="15.33203125" bestFit="1" customWidth="1"/>
    <col min="10" max="10" width="10" bestFit="1" customWidth="1"/>
    <col min="11" max="11" width="26.33203125" bestFit="1" customWidth="1"/>
    <col min="12" max="12" width="9.44140625" bestFit="1" customWidth="1"/>
    <col min="13" max="13" width="17.109375" bestFit="1" customWidth="1"/>
    <col min="14" max="14" width="11.6640625" bestFit="1" customWidth="1"/>
    <col min="15" max="15" width="35.44140625" bestFit="1" customWidth="1"/>
    <col min="16" max="16" width="25.44140625" bestFit="1" customWidth="1"/>
    <col min="17" max="17" width="14.88671875" bestFit="1" customWidth="1"/>
    <col min="18" max="18" width="15.5546875" bestFit="1" customWidth="1"/>
  </cols>
  <sheetData>
    <row r="1" spans="1:18" x14ac:dyDescent="0.3">
      <c r="A1" t="s">
        <v>4</v>
      </c>
      <c r="B1" t="s">
        <v>5</v>
      </c>
      <c r="C1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</row>
    <row r="2" spans="1:18" x14ac:dyDescent="0.3">
      <c r="A2" t="s">
        <v>22</v>
      </c>
      <c r="B2">
        <v>25</v>
      </c>
      <c r="C2">
        <v>3</v>
      </c>
      <c r="D2" s="7" t="s">
        <v>23</v>
      </c>
      <c r="E2" s="7" t="s">
        <v>24</v>
      </c>
      <c r="F2" s="7">
        <v>13</v>
      </c>
      <c r="G2" s="35">
        <v>-4.17</v>
      </c>
      <c r="H2" s="35">
        <v>45</v>
      </c>
      <c r="I2" s="35">
        <v>5.99</v>
      </c>
      <c r="J2" s="35">
        <v>4.3600000000000003</v>
      </c>
      <c r="K2" s="35">
        <v>2.08</v>
      </c>
      <c r="L2" s="7">
        <v>53.26</v>
      </c>
      <c r="M2" s="41">
        <f>+L2</f>
        <v>53.26</v>
      </c>
      <c r="N2" t="str">
        <f>+VLOOKUP(D2,'DISPOSITIVOS ACTIVOS'!B:D,3,FALSE)</f>
        <v>Iphone</v>
      </c>
      <c r="O2" t="str">
        <f>+VLOOKUP(D2,'DISPOSITIVOS ACTIVOS'!B:G,6,FALSE)</f>
        <v>RIVERO, LUIS MARIANO</v>
      </c>
      <c r="P2" t="str">
        <f>+VLOOKUP(D2,'DISPOSITIVOS ACTIVOS'!$B$1:$H$299,7,FALSE)</f>
        <v>SALES CENTRAL</v>
      </c>
      <c r="Q2" t="str">
        <f>IFERROR(+VLOOKUP(D2,'[1]Migracion feb25 Ver to ATT'!$B:$B,1,FALSE), "NO")</f>
        <v>NO</v>
      </c>
      <c r="R2" s="26">
        <f>+IF(Q2="NO",25,15)</f>
        <v>25</v>
      </c>
    </row>
    <row r="3" spans="1:18" x14ac:dyDescent="0.3">
      <c r="A3" t="s">
        <v>22</v>
      </c>
      <c r="B3">
        <v>25</v>
      </c>
      <c r="C3">
        <v>3</v>
      </c>
      <c r="D3" s="7" t="s">
        <v>25</v>
      </c>
      <c r="E3" s="7" t="s">
        <v>24</v>
      </c>
      <c r="F3" s="7">
        <v>15</v>
      </c>
      <c r="G3" s="35">
        <v>-4.17</v>
      </c>
      <c r="H3" s="35">
        <v>45</v>
      </c>
      <c r="I3" s="35">
        <v>5.99</v>
      </c>
      <c r="J3" s="35">
        <v>4.3600000000000003</v>
      </c>
      <c r="K3" s="35">
        <v>2.08</v>
      </c>
      <c r="L3" s="7">
        <v>53.26</v>
      </c>
      <c r="M3" s="41">
        <f t="shared" ref="M3:M52" si="0">+L3</f>
        <v>53.26</v>
      </c>
      <c r="N3" t="str">
        <f>+VLOOKUP(D3,'DISPOSITIVOS ACTIVOS'!B:D,3,FALSE)</f>
        <v>Iphone</v>
      </c>
      <c r="O3" t="str">
        <f>+VLOOKUP(D3,'DISPOSITIVOS ACTIVOS'!B:G,6,FALSE)</f>
        <v>CALDERON, PILAR ESTRADA</v>
      </c>
      <c r="P3" t="str">
        <f>+VLOOKUP(D3,'DISPOSITIVOS ACTIVOS'!$B$1:$H$299,7,FALSE)</f>
        <v>MERCHANDISER SOUTH</v>
      </c>
      <c r="Q3" t="str">
        <f>IFERROR(+VLOOKUP(D3,'[1]Migracion feb25 Ver to ATT'!$B:$B,1,FALSE), "NO")</f>
        <v>NO</v>
      </c>
      <c r="R3" s="26">
        <f t="shared" ref="R3:R66" si="1">+IF(Q3="NO",25,15)</f>
        <v>25</v>
      </c>
    </row>
    <row r="4" spans="1:18" x14ac:dyDescent="0.3">
      <c r="A4" t="s">
        <v>22</v>
      </c>
      <c r="B4">
        <v>25</v>
      </c>
      <c r="C4">
        <v>3</v>
      </c>
      <c r="D4" s="7" t="s">
        <v>26</v>
      </c>
      <c r="E4" s="7" t="s">
        <v>27</v>
      </c>
      <c r="F4" s="7">
        <v>17</v>
      </c>
      <c r="G4" s="35">
        <v>-4.17</v>
      </c>
      <c r="H4" s="35">
        <v>45</v>
      </c>
      <c r="I4" s="35">
        <v>5.99</v>
      </c>
      <c r="J4" s="35">
        <v>4.3600000000000003</v>
      </c>
      <c r="K4" s="35">
        <v>2.08</v>
      </c>
      <c r="L4" s="7">
        <v>53.26</v>
      </c>
      <c r="M4" s="41">
        <f t="shared" si="0"/>
        <v>53.26</v>
      </c>
      <c r="N4" t="str">
        <f>+VLOOKUP(D4,'DISPOSITIVOS ACTIVOS'!B:D,3,FALSE)</f>
        <v>Iphone</v>
      </c>
      <c r="O4" t="str">
        <f>+VLOOKUP(D4,'DISPOSITIVOS ACTIVOS'!B:G,6,FALSE)</f>
        <v>GARCIA, RADDY</v>
      </c>
      <c r="P4" t="str">
        <f>+VLOOKUP(D4,'DISPOSITIVOS ACTIVOS'!$B$1:$H$299,7,FALSE)</f>
        <v>SALES NORTH</v>
      </c>
      <c r="Q4" t="str">
        <f>IFERROR(+VLOOKUP(D4,'[1]Migracion feb25 Ver to ATT'!$B:$B,1,FALSE), "NO")</f>
        <v>NO</v>
      </c>
      <c r="R4" s="26">
        <f t="shared" si="1"/>
        <v>25</v>
      </c>
    </row>
    <row r="5" spans="1:18" x14ac:dyDescent="0.3">
      <c r="A5" t="s">
        <v>22</v>
      </c>
      <c r="B5">
        <v>25</v>
      </c>
      <c r="C5">
        <v>3</v>
      </c>
      <c r="D5" s="7" t="s">
        <v>28</v>
      </c>
      <c r="E5" s="7" t="s">
        <v>29</v>
      </c>
      <c r="F5" s="7">
        <v>19</v>
      </c>
      <c r="G5" s="35">
        <v>-5</v>
      </c>
      <c r="H5" s="35">
        <v>20</v>
      </c>
      <c r="I5" s="7" t="s">
        <v>30</v>
      </c>
      <c r="J5" s="35">
        <v>3.75</v>
      </c>
      <c r="K5" s="7" t="s">
        <v>30</v>
      </c>
      <c r="L5" s="7">
        <v>18.75</v>
      </c>
      <c r="M5">
        <f t="shared" si="0"/>
        <v>18.75</v>
      </c>
      <c r="N5" t="str">
        <f>+VLOOKUP(D5,'DISPOSITIVOS ACTIVOS'!B:D,3,FALSE)</f>
        <v>no aplica</v>
      </c>
      <c r="O5" t="str">
        <f>+VLOOKUP(D5,'DISPOSITIVOS ACTIVOS'!B:G,6,FALSE)</f>
        <v>IPAD SALES</v>
      </c>
      <c r="P5" t="str">
        <f>+VLOOKUP(D5,'DISPOSITIVOS ACTIVOS'!$B$1:$H$299,7,FALSE)</f>
        <v>ATLANTA</v>
      </c>
      <c r="Q5" t="str">
        <f>IFERROR(+VLOOKUP(D5,'[1]Migracion feb25 Ver to ATT'!$B:$B,1,FALSE), "NO")</f>
        <v>NO</v>
      </c>
      <c r="R5" s="26">
        <f t="shared" si="1"/>
        <v>25</v>
      </c>
    </row>
    <row r="6" spans="1:18" x14ac:dyDescent="0.3">
      <c r="A6" t="s">
        <v>22</v>
      </c>
      <c r="B6">
        <v>25</v>
      </c>
      <c r="C6">
        <v>3</v>
      </c>
      <c r="D6" s="7" t="s">
        <v>31</v>
      </c>
      <c r="E6" s="7" t="s">
        <v>29</v>
      </c>
      <c r="F6" s="7">
        <v>21</v>
      </c>
      <c r="G6" s="35">
        <v>-5</v>
      </c>
      <c r="H6" s="35">
        <v>20</v>
      </c>
      <c r="I6" s="7" t="s">
        <v>30</v>
      </c>
      <c r="J6" s="35">
        <v>3.75</v>
      </c>
      <c r="K6" s="7" t="s">
        <v>30</v>
      </c>
      <c r="L6" s="7">
        <v>18.75</v>
      </c>
      <c r="M6">
        <f t="shared" si="0"/>
        <v>18.75</v>
      </c>
      <c r="N6" t="str">
        <f>+VLOOKUP(D6,'DISPOSITIVOS ACTIVOS'!B:D,3,FALSE)</f>
        <v>no aplica</v>
      </c>
      <c r="O6" t="str">
        <f>+VLOOKUP(D6,'DISPOSITIVOS ACTIVOS'!B:G,6,FALSE)</f>
        <v>IPAD SALES</v>
      </c>
      <c r="P6" t="str">
        <f>+VLOOKUP(D6,'DISPOSITIVOS ACTIVOS'!$B$1:$H$299,7,FALSE)</f>
        <v>ATLANTA</v>
      </c>
      <c r="Q6" t="str">
        <f>IFERROR(+VLOOKUP(D6,'[1]Migracion feb25 Ver to ATT'!$B:$B,1,FALSE), "NO")</f>
        <v>NO</v>
      </c>
      <c r="R6" s="26">
        <f t="shared" si="1"/>
        <v>25</v>
      </c>
    </row>
    <row r="7" spans="1:18" x14ac:dyDescent="0.3">
      <c r="A7" t="s">
        <v>22</v>
      </c>
      <c r="B7">
        <v>25</v>
      </c>
      <c r="C7">
        <v>3</v>
      </c>
      <c r="D7" s="7" t="s">
        <v>32</v>
      </c>
      <c r="E7" s="7" t="s">
        <v>29</v>
      </c>
      <c r="F7" s="7">
        <v>23</v>
      </c>
      <c r="G7" s="35">
        <v>-5</v>
      </c>
      <c r="H7" s="35">
        <v>20</v>
      </c>
      <c r="I7" s="7" t="s">
        <v>30</v>
      </c>
      <c r="J7" s="35">
        <v>3.75</v>
      </c>
      <c r="K7" s="7" t="s">
        <v>30</v>
      </c>
      <c r="L7" s="7">
        <v>18.75</v>
      </c>
      <c r="M7">
        <f t="shared" si="0"/>
        <v>18.75</v>
      </c>
      <c r="N7" t="str">
        <f>+VLOOKUP(D7,'DISPOSITIVOS ACTIVOS'!B:D,3,FALSE)</f>
        <v>no aplica</v>
      </c>
      <c r="O7" t="str">
        <f>+VLOOKUP(D7,'DISPOSITIVOS ACTIVOS'!B:G,6,FALSE)</f>
        <v>IPAD SALES</v>
      </c>
      <c r="P7" t="str">
        <f>+VLOOKUP(D7,'DISPOSITIVOS ACTIVOS'!$B$1:$H$299,7,FALSE)</f>
        <v>ATLANTA</v>
      </c>
      <c r="Q7" t="str">
        <f>IFERROR(+VLOOKUP(D7,'[1]Migracion feb25 Ver to ATT'!$B:$B,1,FALSE), "NO")</f>
        <v>NO</v>
      </c>
      <c r="R7" s="26">
        <f t="shared" si="1"/>
        <v>25</v>
      </c>
    </row>
    <row r="8" spans="1:18" x14ac:dyDescent="0.3">
      <c r="A8" t="s">
        <v>22</v>
      </c>
      <c r="B8">
        <v>25</v>
      </c>
      <c r="C8">
        <v>3</v>
      </c>
      <c r="D8" s="7" t="s">
        <v>33</v>
      </c>
      <c r="E8" s="7" t="s">
        <v>34</v>
      </c>
      <c r="F8" s="7">
        <v>25</v>
      </c>
      <c r="G8" s="7" t="s">
        <v>30</v>
      </c>
      <c r="H8" s="35">
        <v>50</v>
      </c>
      <c r="I8" s="35">
        <v>-0.79</v>
      </c>
      <c r="J8" s="35">
        <v>4.4000000000000004</v>
      </c>
      <c r="K8" s="35">
        <v>2.12</v>
      </c>
      <c r="L8" s="7">
        <v>55.73</v>
      </c>
      <c r="M8" s="41">
        <f t="shared" si="0"/>
        <v>55.73</v>
      </c>
      <c r="N8" t="str">
        <f>+VLOOKUP(D8,'DISPOSITIVOS ACTIVOS'!B:D,3,FALSE)</f>
        <v>Iphone</v>
      </c>
      <c r="O8" t="str">
        <f>+VLOOKUP(D8,'DISPOSITIVOS ACTIVOS'!B:G,6,FALSE)</f>
        <v>MADRIGAL GARCIA, HELEN C</v>
      </c>
      <c r="P8" t="str">
        <f>+VLOOKUP(D8,'DISPOSITIVOS ACTIVOS'!$B$1:$H$299,7,FALSE)</f>
        <v>SALES NORTH</v>
      </c>
      <c r="Q8" t="str">
        <f>IFERROR(+VLOOKUP(D8,'[1]Migracion feb25 Ver to ATT'!$B:$B,1,FALSE), "NO")</f>
        <v>NO</v>
      </c>
      <c r="R8" s="26">
        <f t="shared" si="1"/>
        <v>25</v>
      </c>
    </row>
    <row r="9" spans="1:18" x14ac:dyDescent="0.3">
      <c r="A9" t="s">
        <v>22</v>
      </c>
      <c r="B9">
        <v>25</v>
      </c>
      <c r="C9">
        <v>3</v>
      </c>
      <c r="D9" s="7" t="s">
        <v>35</v>
      </c>
      <c r="E9" s="7" t="s">
        <v>36</v>
      </c>
      <c r="F9" s="7">
        <v>27</v>
      </c>
      <c r="G9" s="7" t="s">
        <v>30</v>
      </c>
      <c r="H9" s="35">
        <v>20</v>
      </c>
      <c r="I9" s="7" t="s">
        <v>30</v>
      </c>
      <c r="J9" s="35">
        <v>3.75</v>
      </c>
      <c r="K9" s="7" t="s">
        <v>30</v>
      </c>
      <c r="L9" s="7">
        <v>23.75</v>
      </c>
      <c r="M9" s="41">
        <v>88.75</v>
      </c>
      <c r="N9" t="s">
        <v>37</v>
      </c>
      <c r="O9" t="s">
        <v>37</v>
      </c>
      <c r="P9" t="e">
        <f>+VLOOKUP(D9,'DISPOSITIVOS ACTIVOS'!$B$1:$H$299,7,FALSE)</f>
        <v>#N/A</v>
      </c>
      <c r="Q9" t="str">
        <f>IFERROR(+VLOOKUP(D9,'[1]Migracion feb25 Ver to ATT'!$B:$B,1,FALSE), "NO")</f>
        <v>NO</v>
      </c>
      <c r="R9" s="26">
        <f t="shared" si="1"/>
        <v>25</v>
      </c>
    </row>
    <row r="10" spans="1:18" x14ac:dyDescent="0.3">
      <c r="A10" t="s">
        <v>22</v>
      </c>
      <c r="B10">
        <v>25</v>
      </c>
      <c r="C10">
        <v>3</v>
      </c>
      <c r="D10" s="7" t="s">
        <v>38</v>
      </c>
      <c r="E10" s="7" t="s">
        <v>39</v>
      </c>
      <c r="F10" s="7">
        <v>29</v>
      </c>
      <c r="G10" s="7" t="s">
        <v>30</v>
      </c>
      <c r="H10" s="35">
        <v>20</v>
      </c>
      <c r="I10" s="7" t="s">
        <v>30</v>
      </c>
      <c r="J10" s="35">
        <v>3.75</v>
      </c>
      <c r="K10" s="7" t="s">
        <v>30</v>
      </c>
      <c r="L10" s="7">
        <v>23.75</v>
      </c>
      <c r="M10" s="41">
        <v>63.75</v>
      </c>
      <c r="N10" s="4" t="s">
        <v>40</v>
      </c>
      <c r="O10" t="str">
        <f>+VLOOKUP(D10,'DISPOSITIVOS ACTIVOS'!B:G,6,FALSE)</f>
        <v>Backup Internet</v>
      </c>
      <c r="P10" t="str">
        <f>+VLOOKUP(D10,'DISPOSITIVOS ACTIVOS'!$B$1:$H$299,7,FALSE)</f>
        <v>SALES CENTRAL</v>
      </c>
      <c r="Q10" t="str">
        <f>IFERROR(+VLOOKUP(D10,'[1]Migracion feb25 Ver to ATT'!$B:$B,1,FALSE), "NO")</f>
        <v>NO</v>
      </c>
      <c r="R10" s="26">
        <f t="shared" si="1"/>
        <v>25</v>
      </c>
    </row>
    <row r="11" spans="1:18" x14ac:dyDescent="0.3">
      <c r="A11" t="s">
        <v>22</v>
      </c>
      <c r="B11">
        <v>25</v>
      </c>
      <c r="C11">
        <v>3</v>
      </c>
      <c r="D11" s="7" t="s">
        <v>41</v>
      </c>
      <c r="E11" s="7" t="s">
        <v>42</v>
      </c>
      <c r="F11" s="7">
        <v>31</v>
      </c>
      <c r="G11" s="7" t="s">
        <v>30</v>
      </c>
      <c r="H11" s="35">
        <v>20</v>
      </c>
      <c r="I11" s="7" t="s">
        <v>30</v>
      </c>
      <c r="J11" s="35">
        <v>3.75</v>
      </c>
      <c r="K11" s="7" t="s">
        <v>30</v>
      </c>
      <c r="L11" s="7">
        <v>23.75</v>
      </c>
      <c r="M11" s="41">
        <v>63.75</v>
      </c>
      <c r="N11" s="4" t="s">
        <v>40</v>
      </c>
      <c r="O11" t="str">
        <f>+VLOOKUP(D11,'DISPOSITIVOS ACTIVOS'!B:G,6,FALSE)</f>
        <v>Backup Internet</v>
      </c>
      <c r="P11" t="str">
        <f>+VLOOKUP(D11,'DISPOSITIVOS ACTIVOS'!$B$1:$H$299,7,FALSE)</f>
        <v>SALES CENTRAL</v>
      </c>
      <c r="Q11" t="str">
        <f>IFERROR(+VLOOKUP(D11,'[1]Migracion feb25 Ver to ATT'!$B:$B,1,FALSE), "NO")</f>
        <v>NO</v>
      </c>
      <c r="R11" s="26">
        <f t="shared" si="1"/>
        <v>25</v>
      </c>
    </row>
    <row r="12" spans="1:18" x14ac:dyDescent="0.3">
      <c r="A12" t="s">
        <v>22</v>
      </c>
      <c r="B12">
        <v>25</v>
      </c>
      <c r="C12">
        <v>3</v>
      </c>
      <c r="D12" s="7" t="s">
        <v>43</v>
      </c>
      <c r="E12" s="7" t="s">
        <v>44</v>
      </c>
      <c r="F12" s="7">
        <v>33</v>
      </c>
      <c r="G12" s="7" t="s">
        <v>30</v>
      </c>
      <c r="H12" s="7" t="s">
        <v>30</v>
      </c>
      <c r="I12" s="7" t="s">
        <v>30</v>
      </c>
      <c r="J12" s="35">
        <v>3.75</v>
      </c>
      <c r="K12" s="7" t="s">
        <v>30</v>
      </c>
      <c r="L12" s="7">
        <v>3.75</v>
      </c>
      <c r="M12">
        <v>23.75</v>
      </c>
      <c r="N12" t="str">
        <f>+VLOOKUP(D12,'DISPOSITIVOS ACTIVOS'!B:D,3,FALSE)</f>
        <v>Ipad</v>
      </c>
      <c r="O12" t="str">
        <f>+VLOOKUP(D12,'DISPOSITIVOS ACTIVOS'!B:G,6,FALSE)</f>
        <v>TELLO, IVAN E</v>
      </c>
      <c r="P12" t="str">
        <f>+VLOOKUP(D12,'DISPOSITIVOS ACTIVOS'!$B$1:$H$299,7,FALSE)</f>
        <v>SALES CENTRAL</v>
      </c>
      <c r="Q12" t="str">
        <f>IFERROR(+VLOOKUP(D12,'[1]Migracion feb25 Ver to ATT'!$B:$B,1,FALSE), "NO")</f>
        <v>NO</v>
      </c>
      <c r="R12" s="26">
        <f t="shared" si="1"/>
        <v>25</v>
      </c>
    </row>
    <row r="13" spans="1:18" x14ac:dyDescent="0.3">
      <c r="A13" t="s">
        <v>22</v>
      </c>
      <c r="B13">
        <v>25</v>
      </c>
      <c r="C13">
        <v>3</v>
      </c>
      <c r="D13" s="7" t="s">
        <v>45</v>
      </c>
      <c r="E13" s="7" t="s">
        <v>46</v>
      </c>
      <c r="F13" s="7">
        <v>35</v>
      </c>
      <c r="G13" s="7" t="s">
        <v>30</v>
      </c>
      <c r="H13" s="7" t="s">
        <v>30</v>
      </c>
      <c r="I13" s="7" t="s">
        <v>30</v>
      </c>
      <c r="J13" s="35">
        <v>3.75</v>
      </c>
      <c r="K13" s="7" t="s">
        <v>30</v>
      </c>
      <c r="L13" s="7">
        <v>3.75</v>
      </c>
      <c r="M13">
        <v>23.75</v>
      </c>
      <c r="N13" t="str">
        <f>+VLOOKUP(D13,'DISPOSITIVOS ACTIVOS'!B:D,3,FALSE)</f>
        <v>Ipad</v>
      </c>
      <c r="O13" t="str">
        <f>+VLOOKUP(D13,'DISPOSITIVOS ACTIVOS'!B:G,6,FALSE)</f>
        <v>PALENCIA RODRIGUEZ, LEONARDO R</v>
      </c>
      <c r="P13" t="str">
        <f>+VLOOKUP(D13,'DISPOSITIVOS ACTIVOS'!$B$1:$H$299,7,FALSE)</f>
        <v>SALES CENTRAL</v>
      </c>
      <c r="Q13" t="str">
        <f>IFERROR(+VLOOKUP(D13,'[1]Migracion feb25 Ver to ATT'!$B:$B,1,FALSE), "NO")</f>
        <v>NO</v>
      </c>
      <c r="R13" s="26">
        <f t="shared" si="1"/>
        <v>25</v>
      </c>
    </row>
    <row r="14" spans="1:18" x14ac:dyDescent="0.3">
      <c r="A14" t="s">
        <v>22</v>
      </c>
      <c r="B14">
        <v>25</v>
      </c>
      <c r="C14">
        <v>3</v>
      </c>
      <c r="D14" s="7" t="s">
        <v>47</v>
      </c>
      <c r="E14" s="7" t="s">
        <v>48</v>
      </c>
      <c r="F14" s="7">
        <v>37</v>
      </c>
      <c r="G14" s="7" t="s">
        <v>30</v>
      </c>
      <c r="H14" s="7" t="s">
        <v>30</v>
      </c>
      <c r="I14" s="7" t="s">
        <v>30</v>
      </c>
      <c r="J14" s="35">
        <v>3.75</v>
      </c>
      <c r="K14" s="7" t="s">
        <v>30</v>
      </c>
      <c r="L14" s="7">
        <v>3.75</v>
      </c>
      <c r="M14">
        <v>23.75</v>
      </c>
      <c r="N14" t="s">
        <v>37</v>
      </c>
      <c r="O14" t="s">
        <v>37</v>
      </c>
      <c r="P14" t="e">
        <f>+VLOOKUP(D14,'DISPOSITIVOS ACTIVOS'!$B$1:$H$299,7,FALSE)</f>
        <v>#N/A</v>
      </c>
      <c r="Q14" t="str">
        <f>IFERROR(+VLOOKUP(D14,'[1]Migracion feb25 Ver to ATT'!$B:$B,1,FALSE), "NO")</f>
        <v>NO</v>
      </c>
      <c r="R14" s="26">
        <f t="shared" si="1"/>
        <v>25</v>
      </c>
    </row>
    <row r="15" spans="1:18" x14ac:dyDescent="0.3">
      <c r="A15" t="s">
        <v>22</v>
      </c>
      <c r="B15">
        <v>25</v>
      </c>
      <c r="C15">
        <v>3</v>
      </c>
      <c r="D15" s="7" t="s">
        <v>49</v>
      </c>
      <c r="E15" s="7" t="s">
        <v>50</v>
      </c>
      <c r="F15" s="7">
        <v>39</v>
      </c>
      <c r="G15" s="35">
        <v>4.12</v>
      </c>
      <c r="H15" s="7" t="s">
        <v>30</v>
      </c>
      <c r="I15" s="7" t="s">
        <v>30</v>
      </c>
      <c r="J15" s="35">
        <v>3.75</v>
      </c>
      <c r="K15" s="7" t="s">
        <v>30</v>
      </c>
      <c r="L15" s="7">
        <v>7.87</v>
      </c>
      <c r="M15">
        <v>27.87</v>
      </c>
      <c r="N15" t="str">
        <f>+VLOOKUP(D15,'DISPOSITIVOS ACTIVOS'!B:D,3,FALSE)</f>
        <v>Ipad</v>
      </c>
      <c r="O15" t="str">
        <f>+VLOOKUP(D15,'DISPOSITIVOS ACTIVOS'!B:G,6,FALSE)</f>
        <v>FLORES, JOSE DANIEL</v>
      </c>
      <c r="P15" t="str">
        <f>+VLOOKUP(D15,'DISPOSITIVOS ACTIVOS'!$B$1:$H$299,7,FALSE)</f>
        <v>SALES SOUTH</v>
      </c>
      <c r="Q15" t="str">
        <f>IFERROR(+VLOOKUP(D15,'[1]Migracion feb25 Ver to ATT'!$B:$B,1,FALSE), "NO")</f>
        <v>NO</v>
      </c>
      <c r="R15" s="26">
        <f t="shared" si="1"/>
        <v>25</v>
      </c>
    </row>
    <row r="16" spans="1:18" x14ac:dyDescent="0.3">
      <c r="A16" t="s">
        <v>22</v>
      </c>
      <c r="B16">
        <v>25</v>
      </c>
      <c r="C16">
        <v>3</v>
      </c>
      <c r="D16" s="7" t="s">
        <v>51</v>
      </c>
      <c r="E16" s="7" t="s">
        <v>52</v>
      </c>
      <c r="F16" s="7">
        <v>41</v>
      </c>
      <c r="G16" s="7" t="s">
        <v>30</v>
      </c>
      <c r="H16" s="7" t="s">
        <v>30</v>
      </c>
      <c r="I16" s="7" t="s">
        <v>30</v>
      </c>
      <c r="J16" s="35">
        <v>3.75</v>
      </c>
      <c r="K16" s="7" t="s">
        <v>30</v>
      </c>
      <c r="L16" s="7">
        <v>3.75</v>
      </c>
      <c r="M16">
        <v>23.75</v>
      </c>
      <c r="N16" t="str">
        <f>+VLOOKUP(D16,'DISPOSITIVOS ACTIVOS'!B:D,3,FALSE)</f>
        <v>Ipad</v>
      </c>
      <c r="O16" t="str">
        <f>+VLOOKUP(D16,'DISPOSITIVOS ACTIVOS'!B:G,6,FALSE)</f>
        <v>LACRUZ, ROSMARY</v>
      </c>
      <c r="P16" t="str">
        <f>+VLOOKUP(D16,'DISPOSITIVOS ACTIVOS'!$B$1:$H$299,7,FALSE)</f>
        <v>SALES WEST</v>
      </c>
      <c r="Q16" t="str">
        <f>IFERROR(+VLOOKUP(D16,'[1]Migracion feb25 Ver to ATT'!$B:$B,1,FALSE), "NO")</f>
        <v>NO</v>
      </c>
      <c r="R16" s="26">
        <f t="shared" si="1"/>
        <v>25</v>
      </c>
    </row>
    <row r="17" spans="1:18" x14ac:dyDescent="0.3">
      <c r="A17" t="s">
        <v>22</v>
      </c>
      <c r="B17">
        <v>25</v>
      </c>
      <c r="C17">
        <v>3</v>
      </c>
      <c r="D17" s="7" t="s">
        <v>53</v>
      </c>
      <c r="E17" s="7" t="s">
        <v>54</v>
      </c>
      <c r="F17" s="7">
        <v>43</v>
      </c>
      <c r="G17" s="7" t="s">
        <v>30</v>
      </c>
      <c r="H17" s="7" t="s">
        <v>30</v>
      </c>
      <c r="I17" s="7" t="s">
        <v>30</v>
      </c>
      <c r="J17" s="35">
        <v>3.75</v>
      </c>
      <c r="K17" s="7" t="s">
        <v>30</v>
      </c>
      <c r="L17" s="7">
        <v>3.75</v>
      </c>
      <c r="M17">
        <v>23.75</v>
      </c>
      <c r="N17" t="str">
        <f>+VLOOKUP(D17,'DISPOSITIVOS ACTIVOS'!B:D,3,FALSE)</f>
        <v>Ipad</v>
      </c>
      <c r="O17" t="str">
        <f>+VLOOKUP(D17,'DISPOSITIVOS ACTIVOS'!B:G,6,FALSE)</f>
        <v>MADRIGAL GARCIA, HELEN C</v>
      </c>
      <c r="P17" t="str">
        <f>+VLOOKUP(D17,'DISPOSITIVOS ACTIVOS'!$B$1:$H$299,7,FALSE)</f>
        <v>SALES NORTH</v>
      </c>
      <c r="Q17" t="str">
        <f>IFERROR(+VLOOKUP(D17,'[1]Migracion feb25 Ver to ATT'!$B:$B,1,FALSE), "NO")</f>
        <v>NO</v>
      </c>
      <c r="R17" s="26">
        <f t="shared" si="1"/>
        <v>25</v>
      </c>
    </row>
    <row r="18" spans="1:18" x14ac:dyDescent="0.3">
      <c r="A18" t="s">
        <v>22</v>
      </c>
      <c r="B18">
        <v>25</v>
      </c>
      <c r="C18">
        <v>3</v>
      </c>
      <c r="D18" s="7" t="s">
        <v>55</v>
      </c>
      <c r="E18" s="7" t="s">
        <v>56</v>
      </c>
      <c r="F18" s="7">
        <v>45</v>
      </c>
      <c r="G18" s="7" t="s">
        <v>30</v>
      </c>
      <c r="H18" s="7" t="s">
        <v>30</v>
      </c>
      <c r="I18" s="35">
        <v>12.78</v>
      </c>
      <c r="J18" s="35">
        <v>3.75</v>
      </c>
      <c r="K18" s="7" t="s">
        <v>30</v>
      </c>
      <c r="L18" s="7">
        <v>16.53</v>
      </c>
      <c r="M18" s="41">
        <v>36.53</v>
      </c>
      <c r="N18" t="str">
        <f>+VLOOKUP(D18,'DISPOSITIVOS ACTIVOS'!B:D,3,FALSE)</f>
        <v>Ipad</v>
      </c>
      <c r="O18" t="str">
        <f>+VLOOKUP(D18,'DISPOSITIVOS ACTIVOS'!B:G,6,FALSE)</f>
        <v>GARCIA, RADDY</v>
      </c>
      <c r="P18" t="str">
        <f>+VLOOKUP(D18,'DISPOSITIVOS ACTIVOS'!$B$1:$H$299,7,FALSE)</f>
        <v>SALES NORTH</v>
      </c>
      <c r="Q18" t="str">
        <f>IFERROR(+VLOOKUP(D18,'[1]Migracion feb25 Ver to ATT'!$B:$B,1,FALSE), "NO")</f>
        <v>NO</v>
      </c>
      <c r="R18" s="26">
        <f t="shared" si="1"/>
        <v>25</v>
      </c>
    </row>
    <row r="19" spans="1:18" x14ac:dyDescent="0.3">
      <c r="A19" t="s">
        <v>22</v>
      </c>
      <c r="B19">
        <v>25</v>
      </c>
      <c r="C19">
        <v>3</v>
      </c>
      <c r="D19" s="7" t="s">
        <v>57</v>
      </c>
      <c r="E19" s="7" t="s">
        <v>56</v>
      </c>
      <c r="F19" s="7">
        <v>47</v>
      </c>
      <c r="G19" s="7" t="s">
        <v>30</v>
      </c>
      <c r="H19" s="7" t="s">
        <v>30</v>
      </c>
      <c r="I19" s="35">
        <v>12.78</v>
      </c>
      <c r="J19" s="35">
        <v>3.75</v>
      </c>
      <c r="K19" s="7" t="s">
        <v>30</v>
      </c>
      <c r="L19" s="7">
        <v>16.53</v>
      </c>
      <c r="M19" s="41">
        <v>36.53</v>
      </c>
      <c r="N19" t="str">
        <f>+VLOOKUP(D19,'DISPOSITIVOS ACTIVOS'!B:D,3,FALSE)</f>
        <v>Ipad</v>
      </c>
      <c r="O19" t="str">
        <f>+VLOOKUP(D19,'DISPOSITIVOS ACTIVOS'!B:G,6,FALSE)</f>
        <v>CALDERON, PILAR ESTRADA</v>
      </c>
      <c r="P19" t="str">
        <f>+VLOOKUP(D19,'DISPOSITIVOS ACTIVOS'!$B$1:$H$299,7,FALSE)</f>
        <v>MERCHANDISER SOUTH</v>
      </c>
      <c r="Q19" t="str">
        <f>IFERROR(+VLOOKUP(D19,'[1]Migracion feb25 Ver to ATT'!$B:$B,1,FALSE), "NO")</f>
        <v>NO</v>
      </c>
      <c r="R19" s="26">
        <f t="shared" si="1"/>
        <v>25</v>
      </c>
    </row>
    <row r="20" spans="1:18" x14ac:dyDescent="0.3">
      <c r="A20" t="s">
        <v>22</v>
      </c>
      <c r="B20">
        <v>25</v>
      </c>
      <c r="C20">
        <v>3</v>
      </c>
      <c r="D20" s="7" t="s">
        <v>58</v>
      </c>
      <c r="E20" s="7" t="s">
        <v>56</v>
      </c>
      <c r="F20" s="7">
        <v>49</v>
      </c>
      <c r="G20" s="7" t="s">
        <v>30</v>
      </c>
      <c r="H20" s="7" t="s">
        <v>30</v>
      </c>
      <c r="I20" s="35">
        <v>12.78</v>
      </c>
      <c r="J20" s="35">
        <v>3.75</v>
      </c>
      <c r="K20" s="7" t="s">
        <v>30</v>
      </c>
      <c r="L20" s="7">
        <v>16.53</v>
      </c>
      <c r="M20" s="41">
        <v>36.53</v>
      </c>
      <c r="N20" t="str">
        <f>+VLOOKUP(D20,'DISPOSITIVOS ACTIVOS'!B:D,3,FALSE)</f>
        <v>Ipad</v>
      </c>
      <c r="O20" t="str">
        <f>+VLOOKUP(D20,'DISPOSITIVOS ACTIVOS'!B:G,6,FALSE)</f>
        <v>RIVERO, LUIS MARIANO</v>
      </c>
      <c r="P20" t="str">
        <f>+VLOOKUP(D20,'DISPOSITIVOS ACTIVOS'!$B$1:$H$299,7,FALSE)</f>
        <v>SALES CENTRAL</v>
      </c>
      <c r="Q20" t="str">
        <f>IFERROR(+VLOOKUP(D20,'[1]Migracion feb25 Ver to ATT'!$B:$B,1,FALSE), "NO")</f>
        <v>NO</v>
      </c>
      <c r="R20" s="26">
        <f t="shared" si="1"/>
        <v>25</v>
      </c>
    </row>
    <row r="21" spans="1:18" x14ac:dyDescent="0.3">
      <c r="A21" t="s">
        <v>22</v>
      </c>
      <c r="B21">
        <v>25</v>
      </c>
      <c r="C21">
        <v>3</v>
      </c>
      <c r="D21" s="7" t="s">
        <v>59</v>
      </c>
      <c r="E21" s="7" t="s">
        <v>60</v>
      </c>
      <c r="F21" s="7">
        <v>51</v>
      </c>
      <c r="G21" s="7" t="s">
        <v>30</v>
      </c>
      <c r="H21" s="7" t="s">
        <v>30</v>
      </c>
      <c r="I21" s="7" t="s">
        <v>30</v>
      </c>
      <c r="J21" s="35">
        <v>3.75</v>
      </c>
      <c r="K21" s="7" t="s">
        <v>30</v>
      </c>
      <c r="L21" s="7">
        <v>3.75</v>
      </c>
      <c r="M21">
        <v>23.75</v>
      </c>
      <c r="N21" t="str">
        <f>+VLOOKUP(D21,'DISPOSITIVOS ACTIVOS'!B:D,3,FALSE)</f>
        <v>Ipad</v>
      </c>
      <c r="O21" t="str">
        <f>+VLOOKUP(D21,'DISPOSITIVOS ACTIVOS'!B:G,6,FALSE)</f>
        <v>SHINE, EDILIA D</v>
      </c>
      <c r="P21" t="str">
        <f>+VLOOKUP(D21,'DISPOSITIVOS ACTIVOS'!$B$1:$H$299,7,FALSE)</f>
        <v>SALES NORTH</v>
      </c>
      <c r="Q21" t="str">
        <f>IFERROR(+VLOOKUP(D21,'[1]Migracion feb25 Ver to ATT'!$B:$B,1,FALSE), "NO")</f>
        <v>NO</v>
      </c>
      <c r="R21" s="26">
        <f t="shared" si="1"/>
        <v>25</v>
      </c>
    </row>
    <row r="22" spans="1:18" x14ac:dyDescent="0.3">
      <c r="A22" t="s">
        <v>22</v>
      </c>
      <c r="B22">
        <v>25</v>
      </c>
      <c r="C22">
        <v>3</v>
      </c>
      <c r="D22" s="7" t="s">
        <v>61</v>
      </c>
      <c r="E22" s="7" t="s">
        <v>62</v>
      </c>
      <c r="F22" s="7">
        <v>53</v>
      </c>
      <c r="G22" s="7" t="s">
        <v>30</v>
      </c>
      <c r="H22" s="7" t="s">
        <v>30</v>
      </c>
      <c r="I22" s="7" t="s">
        <v>30</v>
      </c>
      <c r="J22" s="35">
        <v>3.75</v>
      </c>
      <c r="K22" s="7" t="s">
        <v>30</v>
      </c>
      <c r="L22" s="7">
        <v>3.75</v>
      </c>
      <c r="M22">
        <v>23.75</v>
      </c>
      <c r="N22" t="str">
        <f>+VLOOKUP(D22,'DISPOSITIVOS ACTIVOS'!B:D,3,FALSE)</f>
        <v>Ipad</v>
      </c>
      <c r="O22" t="str">
        <f>+VLOOKUP(D22,'DISPOSITIVOS ACTIVOS'!B:G,6,FALSE)</f>
        <v>CHANCHAMIRE, RAFAEL A</v>
      </c>
      <c r="P22" t="str">
        <f>+VLOOKUP(D22,'DISPOSITIVOS ACTIVOS'!$B$1:$H$299,7,FALSE)</f>
        <v>SALES WEST</v>
      </c>
      <c r="Q22" t="str">
        <f>IFERROR(+VLOOKUP(D22,'[1]Migracion feb25 Ver to ATT'!$B:$B,1,FALSE), "NO")</f>
        <v>NO</v>
      </c>
      <c r="R22" s="26">
        <f t="shared" si="1"/>
        <v>25</v>
      </c>
    </row>
    <row r="23" spans="1:18" x14ac:dyDescent="0.3">
      <c r="A23" t="s">
        <v>22</v>
      </c>
      <c r="B23">
        <v>25</v>
      </c>
      <c r="C23">
        <v>3</v>
      </c>
      <c r="D23" s="7" t="s">
        <v>63</v>
      </c>
      <c r="E23" s="7" t="s">
        <v>64</v>
      </c>
      <c r="F23" s="7">
        <v>55</v>
      </c>
      <c r="G23" s="35">
        <v>4.1100000000000003</v>
      </c>
      <c r="H23" s="35">
        <v>50</v>
      </c>
      <c r="I23" s="35">
        <v>5</v>
      </c>
      <c r="J23" s="35">
        <v>4.87</v>
      </c>
      <c r="K23" s="35">
        <v>2.9</v>
      </c>
      <c r="L23" s="7">
        <v>66.88</v>
      </c>
      <c r="M23" s="41">
        <f>+L23</f>
        <v>66.88</v>
      </c>
      <c r="N23" t="str">
        <f>+VLOOKUP(D23,'DISPOSITIVOS ACTIVOS'!B:D,3,FALSE)</f>
        <v>Iphone</v>
      </c>
      <c r="O23" t="str">
        <f>+VLOOKUP(D23,'DISPOSITIVOS ACTIVOS'!B:G,6,FALSE)</f>
        <v>MAITA, JOSE</v>
      </c>
      <c r="P23" t="str">
        <f>+VLOOKUP(D23,'DISPOSITIVOS ACTIVOS'!$B$1:$H$299,7,FALSE)</f>
        <v>SALES SOUTH</v>
      </c>
      <c r="Q23" t="str">
        <f>IFERROR(+VLOOKUP(D23,'[1]Migracion feb25 Ver to ATT'!$B:$B,1,FALSE), "NO")</f>
        <v>NO</v>
      </c>
      <c r="R23" s="26">
        <f t="shared" si="1"/>
        <v>25</v>
      </c>
    </row>
    <row r="24" spans="1:18" x14ac:dyDescent="0.3">
      <c r="A24" t="s">
        <v>22</v>
      </c>
      <c r="B24">
        <v>25</v>
      </c>
      <c r="C24">
        <v>3</v>
      </c>
      <c r="D24" s="7" t="s">
        <v>65</v>
      </c>
      <c r="E24" s="7" t="s">
        <v>66</v>
      </c>
      <c r="F24" s="7">
        <v>57</v>
      </c>
      <c r="G24" s="35">
        <v>-30.88</v>
      </c>
      <c r="H24" s="35">
        <v>50</v>
      </c>
      <c r="I24" s="7" t="s">
        <v>30</v>
      </c>
      <c r="J24" s="35">
        <v>4.2300000000000004</v>
      </c>
      <c r="K24" s="35">
        <v>1.92</v>
      </c>
      <c r="L24" s="7">
        <v>25.27</v>
      </c>
      <c r="M24">
        <f t="shared" si="0"/>
        <v>25.27</v>
      </c>
      <c r="N24" t="str">
        <f>+VLOOKUP(D24,'DISPOSITIVOS ACTIVOS'!B:D,3,FALSE)</f>
        <v>Iphone</v>
      </c>
      <c r="O24" t="str">
        <f>+VLOOKUP(D24,'DISPOSITIVOS ACTIVOS'!B:G,6,FALSE)</f>
        <v>SILVA R, ROSMARY JOSE</v>
      </c>
      <c r="P24" t="str">
        <f>+VLOOKUP(D24,'DISPOSITIVOS ACTIVOS'!$B$1:$H$299,7,FALSE)</f>
        <v>SALES SOUTH</v>
      </c>
      <c r="Q24" t="str">
        <f>IFERROR(+VLOOKUP(D24,'[1]Migracion feb25 Ver to ATT'!$B:$B,1,FALSE), "NO")</f>
        <v>205-529-6296</v>
      </c>
      <c r="R24" s="26">
        <f t="shared" si="1"/>
        <v>15</v>
      </c>
    </row>
    <row r="25" spans="1:18" x14ac:dyDescent="0.3">
      <c r="A25" t="s">
        <v>22</v>
      </c>
      <c r="B25">
        <v>25</v>
      </c>
      <c r="C25">
        <v>3</v>
      </c>
      <c r="D25" s="7" t="s">
        <v>67</v>
      </c>
      <c r="E25" s="7" t="s">
        <v>68</v>
      </c>
      <c r="F25" s="7">
        <v>59</v>
      </c>
      <c r="G25" s="35">
        <v>-35</v>
      </c>
      <c r="H25" s="35">
        <v>50</v>
      </c>
      <c r="I25" s="7" t="s">
        <v>30</v>
      </c>
      <c r="J25" s="35">
        <v>4.2300000000000004</v>
      </c>
      <c r="K25" s="35">
        <v>1.92</v>
      </c>
      <c r="L25" s="7">
        <v>21.15</v>
      </c>
      <c r="M25">
        <f t="shared" si="0"/>
        <v>21.15</v>
      </c>
      <c r="N25" t="str">
        <f>+VLOOKUP(D25,'DISPOSITIVOS ACTIVOS'!B:D,3,FALSE)</f>
        <v>Iphone</v>
      </c>
      <c r="O25" t="str">
        <f>+VLOOKUP(D25,'DISPOSITIVOS ACTIVOS'!B:G,6,FALSE)</f>
        <v>GUERRERO, JESUS</v>
      </c>
      <c r="P25" t="str">
        <f>+VLOOKUP(D25,'DISPOSITIVOS ACTIVOS'!$B$1:$H$299,7,FALSE)</f>
        <v>SALES SOUTH</v>
      </c>
      <c r="Q25" t="str">
        <f>IFERROR(+VLOOKUP(D25,'[1]Migracion feb25 Ver to ATT'!$B:$B,1,FALSE), "NO")</f>
        <v>205-767-8090</v>
      </c>
      <c r="R25" s="26">
        <f t="shared" si="1"/>
        <v>15</v>
      </c>
    </row>
    <row r="26" spans="1:18" x14ac:dyDescent="0.3">
      <c r="A26" t="s">
        <v>22</v>
      </c>
      <c r="B26">
        <v>25</v>
      </c>
      <c r="C26">
        <v>3</v>
      </c>
      <c r="D26" s="7" t="s">
        <v>69</v>
      </c>
      <c r="E26" s="7" t="s">
        <v>70</v>
      </c>
      <c r="F26" s="7">
        <v>61</v>
      </c>
      <c r="G26" s="35">
        <v>4.12</v>
      </c>
      <c r="H26" s="35">
        <v>50</v>
      </c>
      <c r="I26" s="35">
        <v>10.99</v>
      </c>
      <c r="J26" s="35">
        <v>4.87</v>
      </c>
      <c r="K26" s="35">
        <v>2.9</v>
      </c>
      <c r="L26" s="7">
        <v>72.88</v>
      </c>
      <c r="M26" s="41">
        <f t="shared" si="0"/>
        <v>72.88</v>
      </c>
      <c r="N26" t="str">
        <f>+VLOOKUP(D26,'DISPOSITIVOS ACTIVOS'!B:D,3,FALSE)</f>
        <v>Iphone</v>
      </c>
      <c r="O26" t="str">
        <f>+VLOOKUP(D26,'DISPOSITIVOS ACTIVOS'!B:G,6,FALSE)</f>
        <v>FLORES, JOSE DANIEL</v>
      </c>
      <c r="P26" t="str">
        <f>+VLOOKUP(D26,'DISPOSITIVOS ACTIVOS'!$B$1:$H$299,7,FALSE)</f>
        <v>SALES SOUTH</v>
      </c>
      <c r="Q26" t="str">
        <f>IFERROR(+VLOOKUP(D26,'[1]Migracion feb25 Ver to ATT'!$B:$B,1,FALSE), "NO")</f>
        <v>NO</v>
      </c>
      <c r="R26" s="26">
        <f t="shared" si="1"/>
        <v>25</v>
      </c>
    </row>
    <row r="27" spans="1:18" x14ac:dyDescent="0.3">
      <c r="A27" t="s">
        <v>22</v>
      </c>
      <c r="B27">
        <v>25</v>
      </c>
      <c r="C27">
        <v>3</v>
      </c>
      <c r="D27" s="7" t="s">
        <v>71</v>
      </c>
      <c r="E27" s="7" t="s">
        <v>72</v>
      </c>
      <c r="F27" s="7">
        <v>63</v>
      </c>
      <c r="G27" s="7" t="s">
        <v>30</v>
      </c>
      <c r="H27" s="35">
        <v>50</v>
      </c>
      <c r="I27" s="35">
        <v>5</v>
      </c>
      <c r="J27" s="35">
        <v>4.87</v>
      </c>
      <c r="K27" s="35">
        <v>2.57</v>
      </c>
      <c r="L27" s="7">
        <v>62.44</v>
      </c>
      <c r="M27" s="41">
        <f t="shared" si="0"/>
        <v>62.44</v>
      </c>
      <c r="N27" t="str">
        <f>+VLOOKUP(D27,'DISPOSITIVOS ACTIVOS'!B:D,3,FALSE)</f>
        <v>Iphone</v>
      </c>
      <c r="O27" t="str">
        <f>+VLOOKUP(D27,'DISPOSITIVOS ACTIVOS'!B:G,6,FALSE)</f>
        <v>LOPEZ, YESENIA</v>
      </c>
      <c r="P27" t="str">
        <f>+VLOOKUP(D27,'DISPOSITIVOS ACTIVOS'!$B$1:$H$299,7,FALSE)</f>
        <v>SALES WEST</v>
      </c>
      <c r="Q27" t="str">
        <f>IFERROR(+VLOOKUP(D27,'[1]Migracion feb25 Ver to ATT'!$B:$B,1,FALSE), "NO")</f>
        <v>NO</v>
      </c>
      <c r="R27" s="26">
        <f t="shared" si="1"/>
        <v>25</v>
      </c>
    </row>
    <row r="28" spans="1:18" x14ac:dyDescent="0.3">
      <c r="A28" t="s">
        <v>22</v>
      </c>
      <c r="B28">
        <v>25</v>
      </c>
      <c r="C28">
        <v>3</v>
      </c>
      <c r="D28" s="7" t="s">
        <v>73</v>
      </c>
      <c r="E28" s="7" t="s">
        <v>74</v>
      </c>
      <c r="F28" s="7">
        <v>65</v>
      </c>
      <c r="G28" s="35">
        <v>-30.88</v>
      </c>
      <c r="H28" s="35">
        <v>50</v>
      </c>
      <c r="I28" s="7" t="s">
        <v>30</v>
      </c>
      <c r="J28" s="35">
        <v>4.2300000000000004</v>
      </c>
      <c r="K28" s="35">
        <v>1.92</v>
      </c>
      <c r="L28" s="7">
        <v>25.27</v>
      </c>
      <c r="M28">
        <f t="shared" si="0"/>
        <v>25.27</v>
      </c>
      <c r="N28" t="str">
        <f>+VLOOKUP(D28,'DISPOSITIVOS ACTIVOS'!B:D,3,FALSE)</f>
        <v>Iphone</v>
      </c>
      <c r="O28" t="str">
        <f>+VLOOKUP(D28,'DISPOSITIVOS ACTIVOS'!B:G,6,FALSE)</f>
        <v>CAICEDO, VICTOR M</v>
      </c>
      <c r="P28" t="str">
        <f>+VLOOKUP(D28,'DISPOSITIVOS ACTIVOS'!$B$1:$H$299,7,FALSE)</f>
        <v>SALES WEST</v>
      </c>
      <c r="Q28" t="str">
        <f>IFERROR(+VLOOKUP(D28,'[1]Migracion feb25 Ver to ATT'!$B:$B,1,FALSE), "NO")</f>
        <v>314-580-3315</v>
      </c>
      <c r="R28" s="26">
        <f t="shared" si="1"/>
        <v>15</v>
      </c>
    </row>
    <row r="29" spans="1:18" x14ac:dyDescent="0.3">
      <c r="A29" t="s">
        <v>22</v>
      </c>
      <c r="B29">
        <v>25</v>
      </c>
      <c r="C29">
        <v>3</v>
      </c>
      <c r="D29" s="7" t="s">
        <v>75</v>
      </c>
      <c r="E29" s="7" t="s">
        <v>76</v>
      </c>
      <c r="F29" s="7">
        <v>67</v>
      </c>
      <c r="G29" s="35">
        <v>-30.88</v>
      </c>
      <c r="H29" s="35">
        <v>50</v>
      </c>
      <c r="I29" s="7" t="s">
        <v>30</v>
      </c>
      <c r="J29" s="35">
        <v>4.2300000000000004</v>
      </c>
      <c r="K29" s="35">
        <v>1.92</v>
      </c>
      <c r="L29" s="7">
        <v>25.27</v>
      </c>
      <c r="M29">
        <f t="shared" si="0"/>
        <v>25.27</v>
      </c>
      <c r="N29" t="str">
        <f>+VLOOKUP(D29,'DISPOSITIVOS ACTIVOS'!B:D,3,FALSE)</f>
        <v>Iphone</v>
      </c>
      <c r="O29" t="str">
        <f>+VLOOKUP(D29,'DISPOSITIVOS ACTIVOS'!B:G,6,FALSE)</f>
        <v>SORIANO, NAYELY</v>
      </c>
      <c r="P29" t="str">
        <f>+VLOOKUP(D29,'DISPOSITIVOS ACTIVOS'!$B$1:$H$299,7,FALSE)</f>
        <v>SALES NORTH</v>
      </c>
      <c r="Q29" t="str">
        <f>IFERROR(+VLOOKUP(D29,'[1]Migracion feb25 Ver to ATT'!$B:$B,1,FALSE), "NO")</f>
        <v>317-500-7156</v>
      </c>
      <c r="R29" s="26">
        <f t="shared" si="1"/>
        <v>15</v>
      </c>
    </row>
    <row r="30" spans="1:18" x14ac:dyDescent="0.3">
      <c r="A30" t="s">
        <v>22</v>
      </c>
      <c r="B30">
        <v>25</v>
      </c>
      <c r="C30">
        <v>3</v>
      </c>
      <c r="D30" s="7" t="s">
        <v>77</v>
      </c>
      <c r="E30" s="7" t="s">
        <v>78</v>
      </c>
      <c r="F30" s="7">
        <v>69</v>
      </c>
      <c r="G30" s="35">
        <v>-35</v>
      </c>
      <c r="H30" s="35">
        <v>50</v>
      </c>
      <c r="I30" s="7" t="s">
        <v>30</v>
      </c>
      <c r="J30" s="35">
        <v>4.2300000000000004</v>
      </c>
      <c r="K30" s="35">
        <v>1.92</v>
      </c>
      <c r="L30" s="7">
        <v>21.15</v>
      </c>
      <c r="M30">
        <f t="shared" si="0"/>
        <v>21.15</v>
      </c>
      <c r="N30" t="str">
        <f>+VLOOKUP(D30,'DISPOSITIVOS ACTIVOS'!B:D,3,FALSE)</f>
        <v>Iphone</v>
      </c>
      <c r="O30" t="str">
        <f>+VLOOKUP(D30,'DISPOSITIVOS ACTIVOS'!B:G,6,FALSE)</f>
        <v>CORADO, JUAN CARLOS</v>
      </c>
      <c r="P30" t="str">
        <f>+VLOOKUP(D30,'DISPOSITIVOS ACTIVOS'!$B$1:$H$299,7,FALSE)</f>
        <v>SALES SOUTH</v>
      </c>
      <c r="Q30" t="str">
        <f>IFERROR(+VLOOKUP(D30,'[1]Migracion feb25 Ver to ATT'!$B:$B,1,FALSE), "NO")</f>
        <v>423-321-4014</v>
      </c>
      <c r="R30" s="26">
        <f t="shared" si="1"/>
        <v>15</v>
      </c>
    </row>
    <row r="31" spans="1:18" x14ac:dyDescent="0.3">
      <c r="A31" t="s">
        <v>22</v>
      </c>
      <c r="B31">
        <v>25</v>
      </c>
      <c r="C31">
        <v>3</v>
      </c>
      <c r="D31" s="7" t="s">
        <v>79</v>
      </c>
      <c r="E31" s="7" t="s">
        <v>80</v>
      </c>
      <c r="F31" s="7">
        <v>71</v>
      </c>
      <c r="G31" s="35">
        <v>4.12</v>
      </c>
      <c r="H31" s="35">
        <v>50</v>
      </c>
      <c r="I31" s="7" t="s">
        <v>30</v>
      </c>
      <c r="J31" s="35">
        <v>4.87</v>
      </c>
      <c r="K31" s="35">
        <v>2.57</v>
      </c>
      <c r="L31" s="7">
        <v>61.56</v>
      </c>
      <c r="M31" s="41">
        <f t="shared" si="0"/>
        <v>61.56</v>
      </c>
      <c r="N31" t="str">
        <f>+VLOOKUP(D31,'DISPOSITIVOS ACTIVOS'!B:D,3,FALSE)</f>
        <v>Iphone</v>
      </c>
      <c r="O31" t="str">
        <f>+VLOOKUP(D31,'DISPOSITIVOS ACTIVOS'!B:G,6,FALSE)</f>
        <v>SHINE, EDILIA D</v>
      </c>
      <c r="P31" t="str">
        <f>+VLOOKUP(D31,'DISPOSITIVOS ACTIVOS'!$B$1:$H$299,7,FALSE)</f>
        <v>SALES NORTH</v>
      </c>
      <c r="Q31" t="str">
        <f>IFERROR(+VLOOKUP(D31,'[1]Migracion feb25 Ver to ATT'!$B:$B,1,FALSE), "NO")</f>
        <v>NO</v>
      </c>
      <c r="R31" s="26">
        <f t="shared" si="1"/>
        <v>25</v>
      </c>
    </row>
    <row r="32" spans="1:18" x14ac:dyDescent="0.3">
      <c r="A32" t="s">
        <v>22</v>
      </c>
      <c r="B32">
        <v>25</v>
      </c>
      <c r="C32">
        <v>3</v>
      </c>
      <c r="D32" s="7" t="s">
        <v>81</v>
      </c>
      <c r="E32" s="7" t="s">
        <v>82</v>
      </c>
      <c r="F32" s="7">
        <v>73</v>
      </c>
      <c r="G32" s="35">
        <v>4.12</v>
      </c>
      <c r="H32" s="35">
        <v>50</v>
      </c>
      <c r="I32" s="35">
        <v>5.99</v>
      </c>
      <c r="J32" s="35">
        <v>5.0199999999999996</v>
      </c>
      <c r="K32" s="35">
        <v>1.78</v>
      </c>
      <c r="L32" s="7">
        <v>66.91</v>
      </c>
      <c r="M32" s="41">
        <f t="shared" si="0"/>
        <v>66.91</v>
      </c>
      <c r="N32" t="s">
        <v>37</v>
      </c>
      <c r="O32" t="s">
        <v>37</v>
      </c>
      <c r="P32" t="e">
        <f>+VLOOKUP(D32,'DISPOSITIVOS ACTIVOS'!$B$1:$H$299,7,FALSE)</f>
        <v>#N/A</v>
      </c>
      <c r="Q32" t="str">
        <f>IFERROR(+VLOOKUP(D32,'[1]Migracion feb25 Ver to ATT'!$B:$B,1,FALSE), "NO")</f>
        <v>NO</v>
      </c>
      <c r="R32" s="26">
        <f t="shared" si="1"/>
        <v>25</v>
      </c>
    </row>
    <row r="33" spans="1:18" x14ac:dyDescent="0.3">
      <c r="A33" t="s">
        <v>22</v>
      </c>
      <c r="B33">
        <v>25</v>
      </c>
      <c r="C33">
        <v>3</v>
      </c>
      <c r="D33" s="7" t="s">
        <v>83</v>
      </c>
      <c r="E33" s="7" t="s">
        <v>84</v>
      </c>
      <c r="F33" s="7">
        <v>75</v>
      </c>
      <c r="G33" s="7" t="s">
        <v>30</v>
      </c>
      <c r="H33" s="35">
        <v>50</v>
      </c>
      <c r="I33" s="7" t="s">
        <v>30</v>
      </c>
      <c r="J33" s="35">
        <v>4.87</v>
      </c>
      <c r="K33" s="35">
        <v>2.57</v>
      </c>
      <c r="L33" s="7">
        <v>57.44</v>
      </c>
      <c r="M33" s="41">
        <f t="shared" si="0"/>
        <v>57.44</v>
      </c>
      <c r="N33" t="s">
        <v>37</v>
      </c>
      <c r="O33" t="s">
        <v>37</v>
      </c>
      <c r="P33" t="e">
        <f>+VLOOKUP(D33,'DISPOSITIVOS ACTIVOS'!$B$1:$H$299,7,FALSE)</f>
        <v>#N/A</v>
      </c>
      <c r="Q33" t="str">
        <f>IFERROR(+VLOOKUP(D33,'[1]Migracion feb25 Ver to ATT'!$B:$B,1,FALSE), "NO")</f>
        <v>NO</v>
      </c>
      <c r="R33" s="26">
        <f t="shared" si="1"/>
        <v>25</v>
      </c>
    </row>
    <row r="34" spans="1:18" x14ac:dyDescent="0.3">
      <c r="A34" t="s">
        <v>22</v>
      </c>
      <c r="B34">
        <v>25</v>
      </c>
      <c r="C34">
        <v>3</v>
      </c>
      <c r="D34" s="7" t="s">
        <v>85</v>
      </c>
      <c r="E34" s="7" t="s">
        <v>86</v>
      </c>
      <c r="F34" s="7">
        <v>77</v>
      </c>
      <c r="G34" s="35">
        <v>4.12</v>
      </c>
      <c r="H34" s="35">
        <v>50</v>
      </c>
      <c r="I34" s="7" t="s">
        <v>30</v>
      </c>
      <c r="J34" s="35">
        <v>4.87</v>
      </c>
      <c r="K34" s="35">
        <v>2.39</v>
      </c>
      <c r="L34" s="7">
        <v>61.38</v>
      </c>
      <c r="M34" s="41">
        <f t="shared" si="0"/>
        <v>61.38</v>
      </c>
      <c r="N34" t="str">
        <f>+VLOOKUP(D34,'DISPOSITIVOS ACTIVOS'!B:D,3,FALSE)</f>
        <v>no aplica</v>
      </c>
      <c r="O34" t="str">
        <f>+VLOOKUP(D34,'DISPOSITIVOS ACTIVOS'!B:G,6,FALSE)</f>
        <v>DANIEL GARCIA</v>
      </c>
      <c r="P34" t="str">
        <f>+VLOOKUP(D34,'DISPOSITIVOS ACTIVOS'!$B$1:$H$299,7,FALSE)</f>
        <v>ATLANTA</v>
      </c>
      <c r="Q34" t="str">
        <f>IFERROR(+VLOOKUP(D34,'[1]Migracion feb25 Ver to ATT'!$B:$B,1,FALSE), "NO")</f>
        <v>NO</v>
      </c>
      <c r="R34" s="26">
        <f t="shared" si="1"/>
        <v>25</v>
      </c>
    </row>
    <row r="35" spans="1:18" x14ac:dyDescent="0.3">
      <c r="A35" t="s">
        <v>22</v>
      </c>
      <c r="B35">
        <v>25</v>
      </c>
      <c r="C35">
        <v>3</v>
      </c>
      <c r="D35" s="7" t="s">
        <v>87</v>
      </c>
      <c r="E35" s="7" t="s">
        <v>88</v>
      </c>
      <c r="F35" s="7">
        <v>79</v>
      </c>
      <c r="G35" s="35">
        <v>4.12</v>
      </c>
      <c r="H35" s="35">
        <v>50</v>
      </c>
      <c r="I35" s="7" t="s">
        <v>30</v>
      </c>
      <c r="J35" s="35">
        <v>4.87</v>
      </c>
      <c r="K35" s="35">
        <v>2.39</v>
      </c>
      <c r="L35" s="7">
        <v>61.38</v>
      </c>
      <c r="M35" s="41">
        <f t="shared" si="0"/>
        <v>61.38</v>
      </c>
      <c r="N35" t="str">
        <f>+VLOOKUP(D35,'DISPOSITIVOS ACTIVOS'!B:D,3,FALSE)</f>
        <v>no aplica</v>
      </c>
      <c r="O35" t="str">
        <f>+VLOOKUP(D35,'DISPOSITIVOS ACTIVOS'!B:G,6,FALSE)</f>
        <v>OSCAR BARRAGAN</v>
      </c>
      <c r="P35" t="str">
        <f>+VLOOKUP(D35,'DISPOSITIVOS ACTIVOS'!$B$1:$H$299,7,FALSE)</f>
        <v>ATLANTA</v>
      </c>
      <c r="Q35" t="str">
        <f>IFERROR(+VLOOKUP(D35,'[1]Migracion feb25 Ver to ATT'!$B:$B,1,FALSE), "NO")</f>
        <v>NO</v>
      </c>
      <c r="R35" s="26">
        <f t="shared" si="1"/>
        <v>25</v>
      </c>
    </row>
    <row r="36" spans="1:18" x14ac:dyDescent="0.3">
      <c r="A36" t="s">
        <v>22</v>
      </c>
      <c r="B36">
        <v>25</v>
      </c>
      <c r="C36">
        <v>3</v>
      </c>
      <c r="D36" s="7" t="s">
        <v>89</v>
      </c>
      <c r="E36" s="7" t="s">
        <v>90</v>
      </c>
      <c r="F36" s="7">
        <v>81</v>
      </c>
      <c r="G36" s="7" t="s">
        <v>30</v>
      </c>
      <c r="H36" s="35">
        <v>50</v>
      </c>
      <c r="I36" s="7" t="s">
        <v>30</v>
      </c>
      <c r="J36" s="35">
        <v>4.87</v>
      </c>
      <c r="K36" s="35">
        <v>2.57</v>
      </c>
      <c r="L36" s="7">
        <v>57.44</v>
      </c>
      <c r="M36" s="41">
        <f t="shared" si="0"/>
        <v>57.44</v>
      </c>
      <c r="N36" t="s">
        <v>37</v>
      </c>
      <c r="O36" t="s">
        <v>37</v>
      </c>
      <c r="P36" t="e">
        <f>+VLOOKUP(D36,'DISPOSITIVOS ACTIVOS'!$B$1:$H$299,7,FALSE)</f>
        <v>#N/A</v>
      </c>
      <c r="Q36" t="str">
        <f>IFERROR(+VLOOKUP(D36,'[1]Migracion feb25 Ver to ATT'!$B:$B,1,FALSE), "NO")</f>
        <v>NO</v>
      </c>
      <c r="R36" s="26">
        <f t="shared" si="1"/>
        <v>25</v>
      </c>
    </row>
    <row r="37" spans="1:18" x14ac:dyDescent="0.3">
      <c r="A37" t="s">
        <v>22</v>
      </c>
      <c r="B37">
        <v>25</v>
      </c>
      <c r="C37">
        <v>3</v>
      </c>
      <c r="D37" s="7" t="s">
        <v>91</v>
      </c>
      <c r="E37" s="7" t="s">
        <v>92</v>
      </c>
      <c r="F37" s="7">
        <v>83</v>
      </c>
      <c r="G37" s="35">
        <v>4.1100000000000003</v>
      </c>
      <c r="H37" s="35">
        <v>30</v>
      </c>
      <c r="I37" s="7" t="s">
        <v>30</v>
      </c>
      <c r="J37" s="35">
        <v>3.75</v>
      </c>
      <c r="K37" s="7" t="s">
        <v>30</v>
      </c>
      <c r="L37" s="7">
        <v>37.86</v>
      </c>
      <c r="M37" s="41">
        <f t="shared" si="0"/>
        <v>37.86</v>
      </c>
      <c r="N37" t="str">
        <f>+VLOOKUP(D37,'DISPOSITIVOS ACTIVOS'!B:D,3,FALSE)</f>
        <v>Ipad</v>
      </c>
      <c r="O37" t="str">
        <f>+VLOOKUP(D37,'DISPOSITIVOS ACTIVOS'!B:G,6,FALSE)</f>
        <v>VILLAVICENCIO, ARTURO J</v>
      </c>
      <c r="P37" t="str">
        <f>+VLOOKUP(D37,'DISPOSITIVOS ACTIVOS'!$B$1:$H$299,7,FALSE)</f>
        <v>SALES WEST</v>
      </c>
      <c r="Q37" t="str">
        <f>IFERROR(+VLOOKUP(D37,'[1]Migracion feb25 Ver to ATT'!$B:$B,1,FALSE), "NO")</f>
        <v>NO</v>
      </c>
      <c r="R37" s="26">
        <f t="shared" si="1"/>
        <v>25</v>
      </c>
    </row>
    <row r="38" spans="1:18" x14ac:dyDescent="0.3">
      <c r="A38" t="s">
        <v>22</v>
      </c>
      <c r="B38">
        <v>25</v>
      </c>
      <c r="C38">
        <v>3</v>
      </c>
      <c r="D38" s="7" t="s">
        <v>93</v>
      </c>
      <c r="E38" s="7" t="s">
        <v>94</v>
      </c>
      <c r="F38" s="7">
        <v>85</v>
      </c>
      <c r="G38" s="35">
        <v>-30.89</v>
      </c>
      <c r="H38" s="35">
        <v>50</v>
      </c>
      <c r="I38" s="7" t="s">
        <v>30</v>
      </c>
      <c r="J38" s="35">
        <v>4.2300000000000004</v>
      </c>
      <c r="K38" s="35">
        <v>1.92</v>
      </c>
      <c r="L38" s="7">
        <v>25.26</v>
      </c>
      <c r="M38">
        <f t="shared" si="0"/>
        <v>25.26</v>
      </c>
      <c r="N38" t="str">
        <f>+VLOOKUP(D38,'DISPOSITIVOS ACTIVOS'!B:D,3,FALSE)</f>
        <v>Iphone</v>
      </c>
      <c r="O38" t="str">
        <f>+VLOOKUP(D38,'DISPOSITIVOS ACTIVOS'!B:G,6,FALSE)</f>
        <v>VILLAVICENCIO, ARTURO J</v>
      </c>
      <c r="P38" t="str">
        <f>+VLOOKUP(D38,'DISPOSITIVOS ACTIVOS'!$B$1:$H$299,7,FALSE)</f>
        <v>SALES WEST</v>
      </c>
      <c r="Q38" t="str">
        <f>IFERROR(+VLOOKUP(D38,'[1]Migracion feb25 Ver to ATT'!$B:$B,1,FALSE), "NO")</f>
        <v>501-773-3763</v>
      </c>
      <c r="R38" s="26">
        <f t="shared" si="1"/>
        <v>15</v>
      </c>
    </row>
    <row r="39" spans="1:18" x14ac:dyDescent="0.3">
      <c r="A39" t="s">
        <v>22</v>
      </c>
      <c r="B39">
        <v>25</v>
      </c>
      <c r="C39">
        <v>3</v>
      </c>
      <c r="D39" s="7" t="s">
        <v>95</v>
      </c>
      <c r="E39" s="7" t="s">
        <v>96</v>
      </c>
      <c r="F39" s="7">
        <v>87</v>
      </c>
      <c r="G39" s="35">
        <v>-16.670000000000002</v>
      </c>
      <c r="H39" s="35">
        <v>50</v>
      </c>
      <c r="I39" s="7" t="s">
        <v>30</v>
      </c>
      <c r="J39" s="35">
        <v>4.5599999999999996</v>
      </c>
      <c r="K39" s="35">
        <v>0.97</v>
      </c>
      <c r="L39" s="7">
        <v>38.86</v>
      </c>
      <c r="M39" s="41">
        <f t="shared" si="0"/>
        <v>38.86</v>
      </c>
      <c r="N39">
        <f>+VLOOKUP(D39,'DISPOSITIVOS ACTIVOS'!B:D,3,FALSE)</f>
        <v>0</v>
      </c>
      <c r="O39" t="str">
        <f>+VLOOKUP(D39,'DISPOSITIVOS ACTIVOS'!B:G,6,FALSE)</f>
        <v xml:space="preserve">Backup  </v>
      </c>
      <c r="P39" t="str">
        <f>+VLOOKUP(D39,'DISPOSITIVOS ACTIVOS'!$B$1:$H$299,7,FALSE)</f>
        <v>SALES CENTRAL</v>
      </c>
      <c r="Q39" t="str">
        <f>IFERROR(+VLOOKUP(D39,'[1]Migracion feb25 Ver to ATT'!$B:$B,1,FALSE), "NO")</f>
        <v>502-341-1558</v>
      </c>
      <c r="R39" s="26">
        <f t="shared" si="1"/>
        <v>15</v>
      </c>
    </row>
    <row r="40" spans="1:18" x14ac:dyDescent="0.3">
      <c r="A40" t="s">
        <v>22</v>
      </c>
      <c r="B40">
        <v>25</v>
      </c>
      <c r="C40">
        <v>3</v>
      </c>
      <c r="D40" s="7" t="s">
        <v>97</v>
      </c>
      <c r="E40" s="7" t="s">
        <v>98</v>
      </c>
      <c r="F40" s="7">
        <v>89</v>
      </c>
      <c r="G40" s="35">
        <v>12.84</v>
      </c>
      <c r="H40" s="35">
        <v>25</v>
      </c>
      <c r="I40" s="7" t="s">
        <v>30</v>
      </c>
      <c r="J40" s="35">
        <v>5.53</v>
      </c>
      <c r="K40" s="35">
        <v>3.23</v>
      </c>
      <c r="L40" s="7">
        <v>46.6</v>
      </c>
      <c r="M40" s="41">
        <f t="shared" si="0"/>
        <v>46.6</v>
      </c>
      <c r="N40" t="str">
        <f>+VLOOKUP(D40,'DISPOSITIVOS ACTIVOS'!B:D,3,FALSE)</f>
        <v xml:space="preserve">Galaxy </v>
      </c>
      <c r="O40" t="str">
        <f>+VLOOKUP(D40,'DISPOSITIVOS ACTIVOS'!B:G,6,FALSE)</f>
        <v>MOJICA, FRANCISCO JAVIER</v>
      </c>
      <c r="P40" t="str">
        <f>+VLOOKUP(D40,'DISPOSITIVOS ACTIVOS'!$B$1:$H$299,7,FALSE)</f>
        <v>LOGISTICS CENTRAL</v>
      </c>
      <c r="Q40" t="str">
        <f>IFERROR(+VLOOKUP(D40,'[1]Migracion feb25 Ver to ATT'!$B:$B,1,FALSE), "NO")</f>
        <v>502-558-5770</v>
      </c>
      <c r="R40" s="26">
        <f t="shared" si="1"/>
        <v>15</v>
      </c>
    </row>
    <row r="41" spans="1:18" x14ac:dyDescent="0.3">
      <c r="A41" t="s">
        <v>22</v>
      </c>
      <c r="B41">
        <v>25</v>
      </c>
      <c r="C41">
        <v>3</v>
      </c>
      <c r="D41" s="7" t="s">
        <v>99</v>
      </c>
      <c r="E41" s="7" t="s">
        <v>100</v>
      </c>
      <c r="F41" s="7">
        <v>91</v>
      </c>
      <c r="G41" s="35">
        <v>-35</v>
      </c>
      <c r="H41" s="35">
        <v>50</v>
      </c>
      <c r="I41" s="7" t="s">
        <v>30</v>
      </c>
      <c r="J41" s="35">
        <v>4.2300000000000004</v>
      </c>
      <c r="K41" s="35">
        <v>1.92</v>
      </c>
      <c r="L41" s="7">
        <v>21.15</v>
      </c>
      <c r="M41">
        <f t="shared" si="0"/>
        <v>21.15</v>
      </c>
      <c r="N41" t="str">
        <f>+VLOOKUP(D41,'DISPOSITIVOS ACTIVOS'!B:D,3,FALSE)</f>
        <v>Iphone</v>
      </c>
      <c r="O41" t="str">
        <f>+VLOOKUP(D41,'DISPOSITIVOS ACTIVOS'!B:G,6,FALSE)</f>
        <v>ARMES, CLAUDIA</v>
      </c>
      <c r="P41" t="str">
        <f>+VLOOKUP(D41,'DISPOSITIVOS ACTIVOS'!$B$1:$H$299,7,FALSE)</f>
        <v>SALES NORTH</v>
      </c>
      <c r="Q41" t="str">
        <f>IFERROR(+VLOOKUP(D41,'[1]Migracion feb25 Ver to ATT'!$B:$B,1,FALSE), "NO")</f>
        <v>502-974-3915</v>
      </c>
      <c r="R41" s="26">
        <f t="shared" si="1"/>
        <v>15</v>
      </c>
    </row>
    <row r="42" spans="1:18" x14ac:dyDescent="0.3">
      <c r="A42" t="s">
        <v>22</v>
      </c>
      <c r="B42">
        <v>25</v>
      </c>
      <c r="C42">
        <v>3</v>
      </c>
      <c r="D42" s="7" t="s">
        <v>101</v>
      </c>
      <c r="E42" s="7" t="s">
        <v>102</v>
      </c>
      <c r="F42" s="7">
        <v>93</v>
      </c>
      <c r="G42" s="35">
        <v>-30.89</v>
      </c>
      <c r="H42" s="35">
        <v>50</v>
      </c>
      <c r="I42" s="7" t="s">
        <v>30</v>
      </c>
      <c r="J42" s="35">
        <v>4.2300000000000004</v>
      </c>
      <c r="K42" s="35">
        <v>1.92</v>
      </c>
      <c r="L42" s="7">
        <v>25.26</v>
      </c>
      <c r="M42">
        <f t="shared" si="0"/>
        <v>25.26</v>
      </c>
      <c r="N42" t="str">
        <f>+VLOOKUP(D42,'DISPOSITIVOS ACTIVOS'!B:D,3,FALSE)</f>
        <v>Iphone</v>
      </c>
      <c r="O42" t="str">
        <f>+VLOOKUP(D42,'DISPOSITIVOS ACTIVOS'!B:G,6,FALSE)</f>
        <v>CORDERO, IRIS</v>
      </c>
      <c r="P42" t="str">
        <f>+VLOOKUP(D42,'DISPOSITIVOS ACTIVOS'!$B$1:$H$299,7,FALSE)</f>
        <v>SALES NORTH</v>
      </c>
      <c r="Q42" t="str">
        <f>IFERROR(+VLOOKUP(D42,'[1]Migracion feb25 Ver to ATT'!$B:$B,1,FALSE), "NO")</f>
        <v>513-675-0865</v>
      </c>
      <c r="R42" s="26">
        <f t="shared" si="1"/>
        <v>15</v>
      </c>
    </row>
    <row r="43" spans="1:18" x14ac:dyDescent="0.3">
      <c r="A43" t="s">
        <v>22</v>
      </c>
      <c r="B43">
        <v>25</v>
      </c>
      <c r="C43">
        <v>3</v>
      </c>
      <c r="D43" s="7" t="s">
        <v>103</v>
      </c>
      <c r="E43" s="7" t="s">
        <v>104</v>
      </c>
      <c r="F43" s="7">
        <v>95</v>
      </c>
      <c r="G43" s="35">
        <v>4.1100000000000003</v>
      </c>
      <c r="H43" s="35">
        <v>50</v>
      </c>
      <c r="I43" s="35">
        <v>5</v>
      </c>
      <c r="J43" s="35">
        <v>5</v>
      </c>
      <c r="K43" s="35">
        <v>1.29</v>
      </c>
      <c r="L43" s="7">
        <v>65.400000000000006</v>
      </c>
      <c r="M43" s="41">
        <f t="shared" si="0"/>
        <v>65.400000000000006</v>
      </c>
      <c r="N43" t="str">
        <f>+VLOOKUP(D43,'DISPOSITIVOS ACTIVOS'!B:D,3,FALSE)</f>
        <v>Iphone</v>
      </c>
      <c r="O43" t="str">
        <f>+VLOOKUP(D43,'DISPOSITIVOS ACTIVOS'!B:G,6,FALSE)</f>
        <v>ALVAREZ PALOMARES M, PAULA MAYREN</v>
      </c>
      <c r="P43" t="str">
        <f>+VLOOKUP(D43,'DISPOSITIVOS ACTIVOS'!$B$1:$H$299,7,FALSE)</f>
        <v>MERCHANDISER NORTH</v>
      </c>
      <c r="Q43" t="str">
        <f>IFERROR(+VLOOKUP(D43,'[1]Migracion feb25 Ver to ATT'!$B:$B,1,FALSE), "NO")</f>
        <v>NO</v>
      </c>
      <c r="R43" s="26">
        <f t="shared" si="1"/>
        <v>25</v>
      </c>
    </row>
    <row r="44" spans="1:18" x14ac:dyDescent="0.3">
      <c r="A44" t="s">
        <v>22</v>
      </c>
      <c r="B44">
        <v>25</v>
      </c>
      <c r="C44">
        <v>3</v>
      </c>
      <c r="D44" s="7" t="s">
        <v>105</v>
      </c>
      <c r="E44" s="7" t="s">
        <v>106</v>
      </c>
      <c r="F44" s="7">
        <v>97</v>
      </c>
      <c r="G44" s="35">
        <v>-35</v>
      </c>
      <c r="H44" s="35">
        <v>50</v>
      </c>
      <c r="I44" s="7" t="s">
        <v>30</v>
      </c>
      <c r="J44" s="35">
        <v>4.2300000000000004</v>
      </c>
      <c r="K44" s="35">
        <v>1.92</v>
      </c>
      <c r="L44" s="7">
        <v>21.15</v>
      </c>
      <c r="M44">
        <f t="shared" si="0"/>
        <v>21.15</v>
      </c>
      <c r="N44" t="str">
        <f>+VLOOKUP(D44,'DISPOSITIVOS ACTIVOS'!B:D,3,FALSE)</f>
        <v>Iphone</v>
      </c>
      <c r="O44" t="str">
        <f>+VLOOKUP(D44,'DISPOSITIVOS ACTIVOS'!B:G,6,FALSE)</f>
        <v>LACRUZ, ROSMARY</v>
      </c>
      <c r="P44" t="str">
        <f>+VLOOKUP(D44,'DISPOSITIVOS ACTIVOS'!$B$1:$H$299,7,FALSE)</f>
        <v>SALES WEST</v>
      </c>
      <c r="Q44" t="str">
        <f>IFERROR(+VLOOKUP(D44,'[1]Migracion feb25 Ver to ATT'!$B:$B,1,FALSE), "NO")</f>
        <v>601-910-8492</v>
      </c>
      <c r="R44" s="26">
        <f t="shared" si="1"/>
        <v>15</v>
      </c>
    </row>
    <row r="45" spans="1:18" x14ac:dyDescent="0.3">
      <c r="A45" t="s">
        <v>22</v>
      </c>
      <c r="B45">
        <v>25</v>
      </c>
      <c r="C45">
        <v>3</v>
      </c>
      <c r="D45" s="7" t="s">
        <v>107</v>
      </c>
      <c r="E45" s="7" t="s">
        <v>108</v>
      </c>
      <c r="F45" s="7">
        <v>99</v>
      </c>
      <c r="G45" s="35">
        <v>-30.89</v>
      </c>
      <c r="H45" s="35">
        <v>50</v>
      </c>
      <c r="I45" s="7" t="s">
        <v>30</v>
      </c>
      <c r="J45" s="35">
        <v>4.2300000000000004</v>
      </c>
      <c r="K45" s="35">
        <v>1.92</v>
      </c>
      <c r="L45" s="7">
        <v>25.26</v>
      </c>
      <c r="M45">
        <f t="shared" si="0"/>
        <v>25.26</v>
      </c>
      <c r="N45" t="str">
        <f>+VLOOKUP(D45,'DISPOSITIVOS ACTIVOS'!B:D,3,FALSE)</f>
        <v>Iphone</v>
      </c>
      <c r="O45" t="str">
        <f>+VLOOKUP(D45,'DISPOSITIVOS ACTIVOS'!B:G,6,FALSE)</f>
        <v>CABRERA, OSMAN A</v>
      </c>
      <c r="P45" t="str">
        <f>+VLOOKUP(D45,'DISPOSITIVOS ACTIVOS'!$B$1:$H$299,7,FALSE)</f>
        <v>SALES CENTRAL</v>
      </c>
      <c r="Q45" t="str">
        <f>IFERROR(+VLOOKUP(D45,'[1]Migracion feb25 Ver to ATT'!$B:$B,1,FALSE), "NO")</f>
        <v>615-207-2464</v>
      </c>
      <c r="R45" s="26">
        <f t="shared" si="1"/>
        <v>15</v>
      </c>
    </row>
    <row r="46" spans="1:18" x14ac:dyDescent="0.3">
      <c r="A46" t="s">
        <v>22</v>
      </c>
      <c r="B46">
        <v>25</v>
      </c>
      <c r="C46">
        <v>3</v>
      </c>
      <c r="D46" s="7" t="s">
        <v>109</v>
      </c>
      <c r="E46" s="7" t="s">
        <v>110</v>
      </c>
      <c r="F46" s="7">
        <v>101</v>
      </c>
      <c r="G46" s="35">
        <v>12.84</v>
      </c>
      <c r="H46" s="35">
        <v>25</v>
      </c>
      <c r="I46" s="7" t="s">
        <v>30</v>
      </c>
      <c r="J46" s="35">
        <v>4.71</v>
      </c>
      <c r="K46" s="35">
        <v>5.49</v>
      </c>
      <c r="L46" s="7">
        <v>48.04</v>
      </c>
      <c r="M46" s="41">
        <f t="shared" si="0"/>
        <v>48.04</v>
      </c>
      <c r="N46" t="str">
        <f>+VLOOKUP(D46,'DISPOSITIVOS ACTIVOS'!B:D,3,FALSE)</f>
        <v>Galaxy</v>
      </c>
      <c r="O46" t="str">
        <f>+VLOOKUP(D46,'DISPOSITIVOS ACTIVOS'!B:G,6,FALSE)</f>
        <v>DE LOS SANTOS, LUIS</v>
      </c>
      <c r="P46" t="str">
        <f>+VLOOKUP(D46,'DISPOSITIVOS ACTIVOS'!$B$1:$H$299,7,FALSE)</f>
        <v>LOGISTIC SOUTH</v>
      </c>
      <c r="Q46" t="str">
        <f>IFERROR(+VLOOKUP(D46,'[1]Migracion feb25 Ver to ATT'!$B:$B,1,FALSE), "NO")</f>
        <v>615-299-3640</v>
      </c>
      <c r="R46" s="26">
        <f t="shared" si="1"/>
        <v>15</v>
      </c>
    </row>
    <row r="47" spans="1:18" x14ac:dyDescent="0.3">
      <c r="A47" t="s">
        <v>22</v>
      </c>
      <c r="B47">
        <v>25</v>
      </c>
      <c r="C47">
        <v>3</v>
      </c>
      <c r="D47" s="7" t="s">
        <v>111</v>
      </c>
      <c r="E47" s="7" t="s">
        <v>112</v>
      </c>
      <c r="F47" s="7">
        <v>103</v>
      </c>
      <c r="G47" s="35">
        <v>4.1100000000000003</v>
      </c>
      <c r="H47" s="35">
        <v>50</v>
      </c>
      <c r="I47" s="35">
        <v>-0.99</v>
      </c>
      <c r="J47" s="35">
        <v>4.87</v>
      </c>
      <c r="K47" s="35">
        <v>2.57</v>
      </c>
      <c r="L47" s="7">
        <v>60.56</v>
      </c>
      <c r="M47" s="41">
        <f t="shared" si="0"/>
        <v>60.56</v>
      </c>
      <c r="N47" t="str">
        <f>+VLOOKUP(D47,'DISPOSITIVOS ACTIVOS'!B:D,3,FALSE)</f>
        <v>Motorola</v>
      </c>
      <c r="O47" t="str">
        <f>+VLOOKUP(D47,'DISPOSITIVOS ACTIVOS'!B:G,6,FALSE)</f>
        <v>FERNANDEZ, EDGAR</v>
      </c>
      <c r="P47" t="str">
        <f>+VLOOKUP(D47,'DISPOSITIVOS ACTIVOS'!$B$1:$H$299,7,FALSE)</f>
        <v>LOGISTICS CENTRAL</v>
      </c>
      <c r="Q47" t="str">
        <f>IFERROR(+VLOOKUP(D47,'[1]Migracion feb25 Ver to ATT'!$B:$B,1,FALSE), "NO")</f>
        <v>NO</v>
      </c>
      <c r="R47" s="26">
        <f t="shared" si="1"/>
        <v>25</v>
      </c>
    </row>
    <row r="48" spans="1:18" x14ac:dyDescent="0.3">
      <c r="A48" t="s">
        <v>22</v>
      </c>
      <c r="B48">
        <v>25</v>
      </c>
      <c r="C48">
        <v>3</v>
      </c>
      <c r="D48" s="7" t="s">
        <v>113</v>
      </c>
      <c r="E48" s="7" t="s">
        <v>29</v>
      </c>
      <c r="F48" s="7">
        <v>105</v>
      </c>
      <c r="G48" s="7" t="s">
        <v>30</v>
      </c>
      <c r="H48" s="35">
        <v>30</v>
      </c>
      <c r="I48" s="7" t="s">
        <v>30</v>
      </c>
      <c r="J48" s="35">
        <v>3.75</v>
      </c>
      <c r="K48" s="7" t="s">
        <v>30</v>
      </c>
      <c r="L48" s="7">
        <v>33.75</v>
      </c>
      <c r="M48" s="41">
        <f t="shared" si="0"/>
        <v>33.75</v>
      </c>
      <c r="N48" s="4" t="s">
        <v>114</v>
      </c>
      <c r="O48" t="e">
        <f>+VLOOKUP(D48,'DISPOSITIVOS ACTIVOS'!B:G,6,FALSE)</f>
        <v>#N/A</v>
      </c>
      <c r="P48" t="e">
        <f>+VLOOKUP(D48,'DISPOSITIVOS ACTIVOS'!$B$1:$H$299,7,FALSE)</f>
        <v>#N/A</v>
      </c>
      <c r="Q48" t="str">
        <f>IFERROR(+VLOOKUP(D48,'[1]Migracion feb25 Ver to ATT'!$B:$B,1,FALSE), "NO")</f>
        <v>NO</v>
      </c>
      <c r="R48" s="26">
        <f t="shared" si="1"/>
        <v>25</v>
      </c>
    </row>
    <row r="49" spans="1:18" x14ac:dyDescent="0.3">
      <c r="A49" t="s">
        <v>22</v>
      </c>
      <c r="B49">
        <v>25</v>
      </c>
      <c r="C49">
        <v>3</v>
      </c>
      <c r="D49" s="7" t="s">
        <v>115</v>
      </c>
      <c r="E49" s="7" t="s">
        <v>116</v>
      </c>
      <c r="F49" s="7">
        <v>107</v>
      </c>
      <c r="G49" s="7" t="s">
        <v>30</v>
      </c>
      <c r="H49" s="35">
        <v>15</v>
      </c>
      <c r="I49" s="7" t="s">
        <v>30</v>
      </c>
      <c r="J49" s="35">
        <v>3.75</v>
      </c>
      <c r="K49" s="7" t="s">
        <v>30</v>
      </c>
      <c r="L49" s="7">
        <v>18.75</v>
      </c>
      <c r="M49">
        <f t="shared" si="0"/>
        <v>18.75</v>
      </c>
      <c r="N49" t="str">
        <f>+VLOOKUP(D49,'DISPOSITIVOS ACTIVOS'!B:D,3,FALSE)</f>
        <v>Ipad</v>
      </c>
      <c r="O49" t="str">
        <f>+VLOOKUP(D49,'DISPOSITIVOS ACTIVOS'!B:G,6,FALSE)</f>
        <v>CARDOZO, ALBERT YVAN</v>
      </c>
      <c r="P49" t="str">
        <f>+VLOOKUP(D49,'DISPOSITIVOS ACTIVOS'!$B$1:$H$299,7,FALSE)</f>
        <v>SALES RITEFILL DSD CENTRAL</v>
      </c>
      <c r="Q49" t="str">
        <f>IFERROR(+VLOOKUP(D49,'[1]Migracion feb25 Ver to ATT'!$B:$B,1,FALSE), "NO")</f>
        <v>615-310-9970</v>
      </c>
      <c r="R49" s="26">
        <f t="shared" si="1"/>
        <v>15</v>
      </c>
    </row>
    <row r="50" spans="1:18" x14ac:dyDescent="0.3">
      <c r="A50" t="s">
        <v>22</v>
      </c>
      <c r="B50">
        <v>25</v>
      </c>
      <c r="C50">
        <v>3</v>
      </c>
      <c r="D50" s="7" t="s">
        <v>117</v>
      </c>
      <c r="E50" s="7" t="s">
        <v>118</v>
      </c>
      <c r="F50" s="7">
        <v>109</v>
      </c>
      <c r="G50" s="7" t="s">
        <v>30</v>
      </c>
      <c r="H50" s="35">
        <v>50</v>
      </c>
      <c r="I50" s="35">
        <v>25</v>
      </c>
      <c r="J50" s="35">
        <v>4.87</v>
      </c>
      <c r="K50" s="35">
        <v>2.57</v>
      </c>
      <c r="L50" s="7">
        <v>82.44</v>
      </c>
      <c r="M50" s="41">
        <f t="shared" si="0"/>
        <v>82.44</v>
      </c>
      <c r="N50" t="str">
        <f>+VLOOKUP(D50,'DISPOSITIVOS ACTIVOS'!B:D,3,FALSE)</f>
        <v>Iphone</v>
      </c>
      <c r="O50" t="str">
        <f>+VLOOKUP(D50,'DISPOSITIVOS ACTIVOS'!B:G,6,FALSE)</f>
        <v>DUQUE IYENGAR, DANIELA</v>
      </c>
      <c r="P50" t="str">
        <f>+VLOOKUP(D50,'DISPOSITIVOS ACTIVOS'!$B$1:$H$299,7,FALSE)</f>
        <v>HR</v>
      </c>
      <c r="Q50" t="str">
        <f>IFERROR(+VLOOKUP(D50,'[1]Migracion feb25 Ver to ATT'!$B:$B,1,FALSE), "NO")</f>
        <v>NO</v>
      </c>
      <c r="R50" s="26">
        <f t="shared" si="1"/>
        <v>25</v>
      </c>
    </row>
    <row r="51" spans="1:18" x14ac:dyDescent="0.3">
      <c r="A51" t="s">
        <v>22</v>
      </c>
      <c r="B51">
        <v>25</v>
      </c>
      <c r="C51">
        <v>3</v>
      </c>
      <c r="D51" s="7" t="s">
        <v>119</v>
      </c>
      <c r="E51" s="7" t="s">
        <v>120</v>
      </c>
      <c r="F51" s="7">
        <v>111</v>
      </c>
      <c r="G51" s="7" t="s">
        <v>30</v>
      </c>
      <c r="H51" s="35">
        <v>50</v>
      </c>
      <c r="I51" s="7" t="s">
        <v>30</v>
      </c>
      <c r="J51" s="35">
        <v>4.87</v>
      </c>
      <c r="K51" s="35">
        <v>2.57</v>
      </c>
      <c r="L51" s="7">
        <v>57.44</v>
      </c>
      <c r="M51" s="41">
        <f t="shared" si="0"/>
        <v>57.44</v>
      </c>
      <c r="N51" t="str">
        <f>+VLOOKUP(D51,'DISPOSITIVOS ACTIVOS'!B:D,3,FALSE)</f>
        <v>Galaxy</v>
      </c>
      <c r="O51" t="str">
        <f>+VLOOKUP(D51,'DISPOSITIVOS ACTIVOS'!B:G,6,FALSE)</f>
        <v>CONDE TORRES, DAVID A</v>
      </c>
      <c r="P51" t="str">
        <f>+VLOOKUP(D51,'DISPOSITIVOS ACTIVOS'!$B$1:$H$299,7,FALSE)</f>
        <v>WAREHOUSE CENTRAL</v>
      </c>
      <c r="Q51" t="str">
        <f>IFERROR(+VLOOKUP(D51,'[1]Migracion feb25 Ver to ATT'!$B:$B,1,FALSE), "NO")</f>
        <v>NO</v>
      </c>
      <c r="R51" s="26">
        <f t="shared" si="1"/>
        <v>25</v>
      </c>
    </row>
    <row r="52" spans="1:18" x14ac:dyDescent="0.3">
      <c r="A52" t="s">
        <v>22</v>
      </c>
      <c r="B52">
        <v>25</v>
      </c>
      <c r="C52">
        <v>3</v>
      </c>
      <c r="D52" s="7" t="s">
        <v>121</v>
      </c>
      <c r="E52" s="7" t="s">
        <v>122</v>
      </c>
      <c r="F52" s="7">
        <v>113</v>
      </c>
      <c r="G52" s="35">
        <v>-35</v>
      </c>
      <c r="H52" s="35">
        <v>50</v>
      </c>
      <c r="I52" s="7" t="s">
        <v>30</v>
      </c>
      <c r="J52" s="35">
        <v>4.2300000000000004</v>
      </c>
      <c r="K52" s="35">
        <v>1.92</v>
      </c>
      <c r="L52" s="7">
        <v>21.15</v>
      </c>
      <c r="M52">
        <f t="shared" si="0"/>
        <v>21.15</v>
      </c>
      <c r="N52" t="str">
        <f>+VLOOKUP(D52,'DISPOSITIVOS ACTIVOS'!B:D,3,FALSE)</f>
        <v>Iphone</v>
      </c>
      <c r="O52" t="str">
        <f>+VLOOKUP(D52,'DISPOSITIVOS ACTIVOS'!B:G,6,FALSE)</f>
        <v>ESQUIVEL, HENRY</v>
      </c>
      <c r="P52" t="str">
        <f>+VLOOKUP(D52,'DISPOSITIVOS ACTIVOS'!$B$1:$H$299,7,FALSE)</f>
        <v>WAREHOUSE CENTRAL</v>
      </c>
      <c r="Q52" t="str">
        <f>IFERROR(+VLOOKUP(D52,'[1]Migracion feb25 Ver to ATT'!$B:$B,1,FALSE), "NO")</f>
        <v>615-390-4624</v>
      </c>
      <c r="R52" s="26">
        <f t="shared" si="1"/>
        <v>15</v>
      </c>
    </row>
    <row r="53" spans="1:18" x14ac:dyDescent="0.3">
      <c r="A53" t="s">
        <v>22</v>
      </c>
      <c r="B53">
        <v>25</v>
      </c>
      <c r="C53">
        <v>3</v>
      </c>
      <c r="D53" s="7" t="s">
        <v>123</v>
      </c>
      <c r="E53" s="7" t="s">
        <v>124</v>
      </c>
      <c r="F53" s="7">
        <v>115</v>
      </c>
      <c r="G53" s="35">
        <v>600.92999999999995</v>
      </c>
      <c r="H53" s="35">
        <v>50</v>
      </c>
      <c r="I53" s="35">
        <v>38.89</v>
      </c>
      <c r="J53" s="35">
        <v>9.86</v>
      </c>
      <c r="K53" s="35">
        <v>5.27</v>
      </c>
      <c r="L53" s="7">
        <v>704.95</v>
      </c>
      <c r="M53" s="41">
        <f t="shared" ref="M53:M116" si="2">+L53</f>
        <v>704.95</v>
      </c>
      <c r="N53" t="str">
        <f>+VLOOKUP(D53,'DISPOSITIVOS ACTIVOS'!B:D,3,FALSE)</f>
        <v>Iphone</v>
      </c>
      <c r="O53" t="str">
        <f>+VLOOKUP(D53,'DISPOSITIVOS ACTIVOS'!B:G,6,FALSE)</f>
        <v>VILLATORO, MERARI</v>
      </c>
      <c r="P53" t="str">
        <f>+VLOOKUP(D53,'DISPOSITIVOS ACTIVOS'!$B$1:$H$299,7,FALSE)</f>
        <v>VP</v>
      </c>
      <c r="Q53" t="str">
        <f>IFERROR(+VLOOKUP(D53,'[1]Migracion feb25 Ver to ATT'!$B:$B,1,FALSE), "NO")</f>
        <v>NO</v>
      </c>
      <c r="R53" s="26">
        <f t="shared" si="1"/>
        <v>25</v>
      </c>
    </row>
    <row r="54" spans="1:18" x14ac:dyDescent="0.3">
      <c r="A54" t="s">
        <v>22</v>
      </c>
      <c r="B54">
        <v>25</v>
      </c>
      <c r="C54">
        <v>3</v>
      </c>
      <c r="D54" s="7" t="s">
        <v>125</v>
      </c>
      <c r="E54" s="7" t="s">
        <v>126</v>
      </c>
      <c r="F54" s="7">
        <v>117</v>
      </c>
      <c r="G54" s="7" t="s">
        <v>30</v>
      </c>
      <c r="H54" s="35">
        <v>50</v>
      </c>
      <c r="I54" s="7" t="s">
        <v>30</v>
      </c>
      <c r="J54" s="35">
        <v>4.87</v>
      </c>
      <c r="K54" s="35">
        <v>2.57</v>
      </c>
      <c r="L54" s="7">
        <v>57.44</v>
      </c>
      <c r="M54" s="41">
        <f t="shared" si="2"/>
        <v>57.44</v>
      </c>
      <c r="N54" t="str">
        <f>+VLOOKUP(D54,'DISPOSITIVOS ACTIVOS'!B:D,3,FALSE)</f>
        <v>Iphone</v>
      </c>
      <c r="O54" t="str">
        <f>+VLOOKUP(D54,'DISPOSITIVOS ACTIVOS'!B:G,6,FALSE)</f>
        <v>BARAJAS, JESSICA</v>
      </c>
      <c r="P54" t="str">
        <f>+VLOOKUP(D54,'DISPOSITIVOS ACTIVOS'!$B$1:$H$299,7,FALSE)</f>
        <v>SALES NORTH</v>
      </c>
      <c r="Q54" t="str">
        <f>IFERROR(+VLOOKUP(D54,'[1]Migracion feb25 Ver to ATT'!$B:$B,1,FALSE), "NO")</f>
        <v>NO</v>
      </c>
      <c r="R54" s="26">
        <f t="shared" si="1"/>
        <v>25</v>
      </c>
    </row>
    <row r="55" spans="1:18" x14ac:dyDescent="0.3">
      <c r="A55" t="s">
        <v>22</v>
      </c>
      <c r="B55">
        <v>25</v>
      </c>
      <c r="C55">
        <v>3</v>
      </c>
      <c r="D55" s="7" t="s">
        <v>127</v>
      </c>
      <c r="E55" s="7" t="s">
        <v>128</v>
      </c>
      <c r="F55" s="7">
        <v>119</v>
      </c>
      <c r="G55" s="7" t="s">
        <v>30</v>
      </c>
      <c r="H55" s="35">
        <v>50</v>
      </c>
      <c r="I55" s="7" t="s">
        <v>30</v>
      </c>
      <c r="J55" s="35">
        <v>4.87</v>
      </c>
      <c r="K55" s="35">
        <v>2.57</v>
      </c>
      <c r="L55" s="7">
        <v>57.44</v>
      </c>
      <c r="M55" s="41">
        <f t="shared" si="2"/>
        <v>57.44</v>
      </c>
      <c r="N55" t="str">
        <f>+VLOOKUP(D55,'DISPOSITIVOS ACTIVOS'!B:D,3,FALSE)</f>
        <v>Iphone</v>
      </c>
      <c r="O55" t="str">
        <f>+VLOOKUP(D55,'DISPOSITIVOS ACTIVOS'!B:G,6,FALSE)</f>
        <v>QUIJANO, NICOLAS</v>
      </c>
      <c r="P55" t="str">
        <f>+VLOOKUP(D55,'DISPOSITIVOS ACTIVOS'!$B$1:$H$299,7,FALSE)</f>
        <v>CFO</v>
      </c>
      <c r="Q55" t="str">
        <f>IFERROR(+VLOOKUP(D55,'[1]Migracion feb25 Ver to ATT'!$B:$B,1,FALSE), "NO")</f>
        <v>NO</v>
      </c>
      <c r="R55" s="26">
        <f t="shared" si="1"/>
        <v>25</v>
      </c>
    </row>
    <row r="56" spans="1:18" x14ac:dyDescent="0.3">
      <c r="A56" t="s">
        <v>22</v>
      </c>
      <c r="B56">
        <v>25</v>
      </c>
      <c r="C56">
        <v>3</v>
      </c>
      <c r="D56" s="7" t="s">
        <v>129</v>
      </c>
      <c r="E56" s="7" t="s">
        <v>130</v>
      </c>
      <c r="F56" s="7">
        <v>121</v>
      </c>
      <c r="G56" s="7" t="s">
        <v>30</v>
      </c>
      <c r="H56" s="35">
        <v>50</v>
      </c>
      <c r="I56" s="7" t="s">
        <v>30</v>
      </c>
      <c r="J56" s="35">
        <v>4.87</v>
      </c>
      <c r="K56" s="35">
        <v>2.57</v>
      </c>
      <c r="L56" s="7">
        <v>57.44</v>
      </c>
      <c r="M56" s="41">
        <f t="shared" si="2"/>
        <v>57.44</v>
      </c>
      <c r="N56" t="str">
        <f>+VLOOKUP(D56,'DISPOSITIVOS ACTIVOS'!B:D,3,FALSE)</f>
        <v>Iphone</v>
      </c>
      <c r="O56" t="str">
        <f>+VLOOKUP(D56,'DISPOSITIVOS ACTIVOS'!B:G,6,FALSE)</f>
        <v>PATINO, ZEDERICK</v>
      </c>
      <c r="P56" t="str">
        <f>+VLOOKUP(D56,'DISPOSITIVOS ACTIVOS'!$B$1:$H$299,7,FALSE)</f>
        <v>MERCHANDISER CENTRAL</v>
      </c>
      <c r="Q56" t="str">
        <f>IFERROR(+VLOOKUP(D56,'[1]Migracion feb25 Ver to ATT'!$B:$B,1,FALSE), "NO")</f>
        <v>NO</v>
      </c>
      <c r="R56" s="26">
        <f t="shared" si="1"/>
        <v>25</v>
      </c>
    </row>
    <row r="57" spans="1:18" x14ac:dyDescent="0.3">
      <c r="A57" t="s">
        <v>22</v>
      </c>
      <c r="B57">
        <v>25</v>
      </c>
      <c r="C57">
        <v>3</v>
      </c>
      <c r="D57" s="7" t="s">
        <v>131</v>
      </c>
      <c r="E57" s="7" t="s">
        <v>132</v>
      </c>
      <c r="F57" s="7">
        <v>123</v>
      </c>
      <c r="G57" s="35">
        <v>-30.88</v>
      </c>
      <c r="H57" s="35">
        <v>50</v>
      </c>
      <c r="I57" s="7" t="s">
        <v>30</v>
      </c>
      <c r="J57" s="35">
        <v>4.2300000000000004</v>
      </c>
      <c r="K57" s="35">
        <v>1.92</v>
      </c>
      <c r="L57" s="7">
        <v>25.27</v>
      </c>
      <c r="M57">
        <f t="shared" si="2"/>
        <v>25.27</v>
      </c>
      <c r="N57" t="str">
        <f>+VLOOKUP(D57,'DISPOSITIVOS ACTIVOS'!B:D,3,FALSE)</f>
        <v>Iphone</v>
      </c>
      <c r="O57" t="str">
        <f>+VLOOKUP(D57,'DISPOSITIVOS ACTIVOS'!B:G,6,FALSE)</f>
        <v>CABANZO, DANNY</v>
      </c>
      <c r="P57" t="str">
        <f>+VLOOKUP(D57,'DISPOSITIVOS ACTIVOS'!$B$1:$H$299,7,FALSE)</f>
        <v>SALES CENTRAL</v>
      </c>
      <c r="Q57" t="str">
        <f>IFERROR(+VLOOKUP(D57,'[1]Migracion feb25 Ver to ATT'!$B:$B,1,FALSE), "NO")</f>
        <v>615-456-2536</v>
      </c>
      <c r="R57" s="26">
        <f t="shared" si="1"/>
        <v>15</v>
      </c>
    </row>
    <row r="58" spans="1:18" x14ac:dyDescent="0.3">
      <c r="A58" t="s">
        <v>22</v>
      </c>
      <c r="B58">
        <v>25</v>
      </c>
      <c r="C58">
        <v>3</v>
      </c>
      <c r="D58" s="7" t="s">
        <v>133</v>
      </c>
      <c r="E58" s="7" t="s">
        <v>134</v>
      </c>
      <c r="F58" s="7">
        <v>125</v>
      </c>
      <c r="G58" s="7" t="s">
        <v>30</v>
      </c>
      <c r="H58" s="35">
        <v>50</v>
      </c>
      <c r="I58" s="7" t="s">
        <v>30</v>
      </c>
      <c r="J58" s="35">
        <v>4.87</v>
      </c>
      <c r="K58" s="35">
        <v>2.57</v>
      </c>
      <c r="L58" s="7">
        <v>57.44</v>
      </c>
      <c r="M58" s="41">
        <f t="shared" si="2"/>
        <v>57.44</v>
      </c>
      <c r="N58" t="s">
        <v>37</v>
      </c>
      <c r="O58" t="s">
        <v>37</v>
      </c>
      <c r="P58" t="e">
        <f>+VLOOKUP(D58,'DISPOSITIVOS ACTIVOS'!$B$1:$H$299,7,FALSE)</f>
        <v>#N/A</v>
      </c>
      <c r="Q58" t="str">
        <f>IFERROR(+VLOOKUP(D58,'[1]Migracion feb25 Ver to ATT'!$B:$B,1,FALSE), "NO")</f>
        <v>NO</v>
      </c>
      <c r="R58" s="26">
        <f t="shared" si="1"/>
        <v>25</v>
      </c>
    </row>
    <row r="59" spans="1:18" x14ac:dyDescent="0.3">
      <c r="A59" t="s">
        <v>22</v>
      </c>
      <c r="B59">
        <v>25</v>
      </c>
      <c r="C59">
        <v>3</v>
      </c>
      <c r="D59" s="7" t="s">
        <v>135</v>
      </c>
      <c r="E59" s="7" t="s">
        <v>136</v>
      </c>
      <c r="F59" s="7">
        <v>127</v>
      </c>
      <c r="G59" s="7" t="s">
        <v>30</v>
      </c>
      <c r="H59" s="35">
        <v>50</v>
      </c>
      <c r="I59" s="35">
        <v>30.56</v>
      </c>
      <c r="J59" s="35">
        <v>4.87</v>
      </c>
      <c r="K59" s="35">
        <v>2.57</v>
      </c>
      <c r="L59" s="7">
        <v>88</v>
      </c>
      <c r="M59" s="41">
        <f t="shared" si="2"/>
        <v>88</v>
      </c>
      <c r="N59" t="str">
        <f>+VLOOKUP(D59,'DISPOSITIVOS ACTIVOS'!B:D,3,FALSE)</f>
        <v>Iphone</v>
      </c>
      <c r="O59" t="str">
        <f>+VLOOKUP(D59,'DISPOSITIVOS ACTIVOS'!B:G,6,FALSE)</f>
        <v>VILLATORO, MERARI</v>
      </c>
      <c r="P59" t="str">
        <f>+VLOOKUP(D59,'DISPOSITIVOS ACTIVOS'!$B$1:$H$299,7,FALSE)</f>
        <v>VP</v>
      </c>
      <c r="Q59" t="str">
        <f>IFERROR(+VLOOKUP(D59,'[1]Migracion feb25 Ver to ATT'!$B:$B,1,FALSE), "NO")</f>
        <v>NO</v>
      </c>
      <c r="R59" s="26">
        <f t="shared" si="1"/>
        <v>25</v>
      </c>
    </row>
    <row r="60" spans="1:18" x14ac:dyDescent="0.3">
      <c r="A60" t="s">
        <v>22</v>
      </c>
      <c r="B60">
        <v>25</v>
      </c>
      <c r="C60">
        <v>3</v>
      </c>
      <c r="D60" s="7" t="s">
        <v>137</v>
      </c>
      <c r="E60" s="7" t="s">
        <v>36</v>
      </c>
      <c r="F60" s="7">
        <v>129</v>
      </c>
      <c r="G60" s="35">
        <v>307.5</v>
      </c>
      <c r="H60" s="35">
        <v>50</v>
      </c>
      <c r="I60" s="35">
        <v>38.89</v>
      </c>
      <c r="J60" s="35">
        <v>14.22</v>
      </c>
      <c r="K60" s="35">
        <v>6.17</v>
      </c>
      <c r="L60" s="7">
        <v>416.78</v>
      </c>
      <c r="M60" s="41">
        <f t="shared" si="2"/>
        <v>416.78</v>
      </c>
      <c r="N60" t="str">
        <f>+VLOOKUP(D60,'DISPOSITIVOS ACTIVOS'!B:D,3,FALSE)</f>
        <v>Iphone</v>
      </c>
      <c r="O60" t="str">
        <f>+VLOOKUP(D60,'DISPOSITIVOS ACTIVOS'!B:G,6,FALSE)</f>
        <v>MADRIZ, JOHAN</v>
      </c>
      <c r="P60" t="str">
        <f>+VLOOKUP(D60,'DISPOSITIVOS ACTIVOS'!$B$1:$H$299,7,FALSE)</f>
        <v>President</v>
      </c>
      <c r="Q60" t="str">
        <f>IFERROR(+VLOOKUP(D60,'[1]Migracion feb25 Ver to ATT'!$B:$B,1,FALSE), "NO")</f>
        <v>NO</v>
      </c>
      <c r="R60" s="26">
        <f t="shared" si="1"/>
        <v>25</v>
      </c>
    </row>
    <row r="61" spans="1:18" x14ac:dyDescent="0.3">
      <c r="A61" t="s">
        <v>22</v>
      </c>
      <c r="B61">
        <v>25</v>
      </c>
      <c r="C61">
        <v>3</v>
      </c>
      <c r="D61" s="7" t="s">
        <v>138</v>
      </c>
      <c r="E61" s="7" t="s">
        <v>139</v>
      </c>
      <c r="F61" s="7">
        <v>131</v>
      </c>
      <c r="G61" s="7" t="s">
        <v>30</v>
      </c>
      <c r="H61" s="35">
        <v>30</v>
      </c>
      <c r="I61" s="7" t="s">
        <v>30</v>
      </c>
      <c r="J61" s="35">
        <v>3.75</v>
      </c>
      <c r="K61" s="7" t="s">
        <v>30</v>
      </c>
      <c r="L61" s="7">
        <v>33.75</v>
      </c>
      <c r="M61" s="41">
        <f t="shared" si="2"/>
        <v>33.75</v>
      </c>
      <c r="N61" t="str">
        <f>+VLOOKUP(D61,'DISPOSITIVOS ACTIVOS'!B:D,3,FALSE)</f>
        <v>Ipad</v>
      </c>
      <c r="O61" t="str">
        <f>+VLOOKUP(D61,'DISPOSITIVOS ACTIVOS'!B:G,6,FALSE)</f>
        <v>LOPEZ, YESENIA</v>
      </c>
      <c r="P61" t="str">
        <f>+VLOOKUP(D61,'DISPOSITIVOS ACTIVOS'!$B$1:$H$299,7,FALSE)</f>
        <v>SALES WEST</v>
      </c>
      <c r="Q61" t="str">
        <f>IFERROR(+VLOOKUP(D61,'[1]Migracion feb25 Ver to ATT'!$B:$B,1,FALSE), "NO")</f>
        <v>NO</v>
      </c>
      <c r="R61" s="26">
        <f t="shared" si="1"/>
        <v>25</v>
      </c>
    </row>
    <row r="62" spans="1:18" x14ac:dyDescent="0.3">
      <c r="A62" t="s">
        <v>22</v>
      </c>
      <c r="B62">
        <v>25</v>
      </c>
      <c r="C62">
        <v>3</v>
      </c>
      <c r="D62" s="7" t="s">
        <v>140</v>
      </c>
      <c r="E62" s="7" t="s">
        <v>141</v>
      </c>
      <c r="F62" s="7">
        <v>133</v>
      </c>
      <c r="G62" s="7" t="s">
        <v>30</v>
      </c>
      <c r="H62" s="35">
        <v>30</v>
      </c>
      <c r="I62" s="7" t="s">
        <v>30</v>
      </c>
      <c r="J62" s="35">
        <v>3.75</v>
      </c>
      <c r="K62" s="7" t="s">
        <v>30</v>
      </c>
      <c r="L62" s="7">
        <v>33.75</v>
      </c>
      <c r="M62" s="41">
        <f t="shared" si="2"/>
        <v>33.75</v>
      </c>
      <c r="N62" t="str">
        <f>+VLOOKUP(D62,'DISPOSITIVOS ACTIVOS'!B:D,3,FALSE)</f>
        <v>Ipad</v>
      </c>
      <c r="O62" t="str">
        <f>+VLOOKUP(D62,'DISPOSITIVOS ACTIVOS'!B:G,6,FALSE)</f>
        <v>MAITA, JOSE</v>
      </c>
      <c r="P62" t="str">
        <f>+VLOOKUP(D62,'DISPOSITIVOS ACTIVOS'!$B$1:$H$299,7,FALSE)</f>
        <v>SALES SOUTH</v>
      </c>
      <c r="Q62" t="str">
        <f>IFERROR(+VLOOKUP(D62,'[1]Migracion feb25 Ver to ATT'!$B:$B,1,FALSE), "NO")</f>
        <v>NO</v>
      </c>
      <c r="R62" s="26">
        <f t="shared" si="1"/>
        <v>25</v>
      </c>
    </row>
    <row r="63" spans="1:18" x14ac:dyDescent="0.3">
      <c r="A63" t="s">
        <v>22</v>
      </c>
      <c r="B63">
        <v>25</v>
      </c>
      <c r="C63">
        <v>3</v>
      </c>
      <c r="D63" s="7" t="s">
        <v>142</v>
      </c>
      <c r="E63" s="7" t="s">
        <v>143</v>
      </c>
      <c r="F63" s="7">
        <v>135</v>
      </c>
      <c r="G63" s="7" t="s">
        <v>30</v>
      </c>
      <c r="H63" s="35">
        <v>30</v>
      </c>
      <c r="I63" s="7" t="s">
        <v>30</v>
      </c>
      <c r="J63" s="35">
        <v>3.75</v>
      </c>
      <c r="K63" s="7" t="s">
        <v>30</v>
      </c>
      <c r="L63" s="7">
        <v>33.75</v>
      </c>
      <c r="M63" s="41">
        <f t="shared" si="2"/>
        <v>33.75</v>
      </c>
      <c r="N63" t="str">
        <f>+VLOOKUP(D63,'DISPOSITIVOS ACTIVOS'!B:D,3,FALSE)</f>
        <v>Ipad</v>
      </c>
      <c r="O63" t="str">
        <f>+VLOOKUP(D63,'DISPOSITIVOS ACTIVOS'!B:G,6,FALSE)</f>
        <v>SILVA R, ROSMARY JOSE</v>
      </c>
      <c r="P63" t="str">
        <f>+VLOOKUP(D63,'DISPOSITIVOS ACTIVOS'!$B$1:$H$299,7,FALSE)</f>
        <v>SALES SOUTH</v>
      </c>
      <c r="Q63" t="str">
        <f>IFERROR(+VLOOKUP(D63,'[1]Migracion feb25 Ver to ATT'!$B:$B,1,FALSE), "NO")</f>
        <v>NO</v>
      </c>
      <c r="R63" s="26">
        <f t="shared" si="1"/>
        <v>25</v>
      </c>
    </row>
    <row r="64" spans="1:18" x14ac:dyDescent="0.3">
      <c r="A64" t="s">
        <v>22</v>
      </c>
      <c r="B64">
        <v>25</v>
      </c>
      <c r="C64">
        <v>3</v>
      </c>
      <c r="D64" s="7" t="s">
        <v>144</v>
      </c>
      <c r="E64" s="7" t="s">
        <v>145</v>
      </c>
      <c r="F64" s="7">
        <v>137</v>
      </c>
      <c r="G64" s="7" t="s">
        <v>30</v>
      </c>
      <c r="H64" s="35">
        <v>50</v>
      </c>
      <c r="I64" s="35">
        <v>10.99</v>
      </c>
      <c r="J64" s="35">
        <v>4.87</v>
      </c>
      <c r="K64" s="35">
        <v>2.57</v>
      </c>
      <c r="L64" s="7">
        <v>68.430000000000007</v>
      </c>
      <c r="M64" s="41">
        <f t="shared" si="2"/>
        <v>68.430000000000007</v>
      </c>
      <c r="N64" t="str">
        <f>+VLOOKUP(D64,'DISPOSITIVOS ACTIVOS'!B:D,3,FALSE)</f>
        <v>Iphone</v>
      </c>
      <c r="O64" t="str">
        <f>+VLOOKUP(D64,'DISPOSITIVOS ACTIVOS'!B:G,6,FALSE)</f>
        <v>PELAEZ, ELIZABETH</v>
      </c>
      <c r="P64" t="str">
        <f>+VLOOKUP(D64,'DISPOSITIVOS ACTIVOS'!$B$1:$H$299,7,FALSE)</f>
        <v>SALES CENTRAL</v>
      </c>
      <c r="Q64" t="str">
        <f>IFERROR(+VLOOKUP(D64,'[1]Migracion feb25 Ver to ATT'!$B:$B,1,FALSE), "NO")</f>
        <v>NO</v>
      </c>
      <c r="R64" s="26">
        <f t="shared" si="1"/>
        <v>25</v>
      </c>
    </row>
    <row r="65" spans="1:18" x14ac:dyDescent="0.3">
      <c r="A65" t="s">
        <v>22</v>
      </c>
      <c r="B65">
        <v>25</v>
      </c>
      <c r="C65">
        <v>3</v>
      </c>
      <c r="D65" s="7" t="s">
        <v>146</v>
      </c>
      <c r="E65" s="7" t="s">
        <v>96</v>
      </c>
      <c r="F65" s="7">
        <v>139</v>
      </c>
      <c r="G65" s="35">
        <v>-35</v>
      </c>
      <c r="H65" s="35">
        <v>50</v>
      </c>
      <c r="I65" s="7" t="s">
        <v>30</v>
      </c>
      <c r="J65" s="35">
        <v>4.2300000000000004</v>
      </c>
      <c r="K65" s="35">
        <v>1.92</v>
      </c>
      <c r="L65" s="7">
        <v>21.15</v>
      </c>
      <c r="M65">
        <f t="shared" si="2"/>
        <v>21.15</v>
      </c>
      <c r="N65" t="str">
        <f>+VLOOKUP(D65,'DISPOSITIVOS ACTIVOS'!B:D,3,FALSE)</f>
        <v>Iphone</v>
      </c>
      <c r="O65" t="str">
        <f>+VLOOKUP(D65,'DISPOSITIVOS ACTIVOS'!B:G,6,FALSE)</f>
        <v>SUAREZ LEZCANO, FERNANDO M</v>
      </c>
      <c r="P65" t="str">
        <f>+VLOOKUP(D65,'DISPOSITIVOS ACTIVOS'!$B$1:$H$299,7,FALSE)</f>
        <v>SALES RITEFILL DSD CENTRAL</v>
      </c>
      <c r="Q65" t="str">
        <f>IFERROR(+VLOOKUP(D65,'[1]Migracion feb25 Ver to ATT'!$B:$B,1,FALSE), "NO")</f>
        <v>615-626-2116</v>
      </c>
      <c r="R65" s="26">
        <f t="shared" si="1"/>
        <v>15</v>
      </c>
    </row>
    <row r="66" spans="1:18" x14ac:dyDescent="0.3">
      <c r="A66" t="s">
        <v>22</v>
      </c>
      <c r="B66">
        <v>25</v>
      </c>
      <c r="C66">
        <v>3</v>
      </c>
      <c r="D66" s="7" t="s">
        <v>147</v>
      </c>
      <c r="E66" s="7" t="s">
        <v>148</v>
      </c>
      <c r="F66" s="7">
        <v>141</v>
      </c>
      <c r="G66" s="35">
        <v>-35</v>
      </c>
      <c r="H66" s="35">
        <v>50</v>
      </c>
      <c r="I66" s="7" t="s">
        <v>30</v>
      </c>
      <c r="J66" s="35">
        <v>4.2300000000000004</v>
      </c>
      <c r="K66" s="35">
        <v>1.92</v>
      </c>
      <c r="L66" s="7">
        <v>21.15</v>
      </c>
      <c r="M66">
        <f t="shared" si="2"/>
        <v>21.15</v>
      </c>
      <c r="N66" t="str">
        <f>+VLOOKUP(D66,'DISPOSITIVOS ACTIVOS'!B:D,3,FALSE)</f>
        <v>Iphone</v>
      </c>
      <c r="O66" t="str">
        <f>+VLOOKUP(D66,'DISPOSITIVOS ACTIVOS'!B:G,6,FALSE)</f>
        <v>NAJERA, LIZET</v>
      </c>
      <c r="P66" t="str">
        <f>+VLOOKUP(D66,'DISPOSITIVOS ACTIVOS'!$B$1:$H$299,7,FALSE)</f>
        <v>SALES NORTH</v>
      </c>
      <c r="Q66" t="str">
        <f>IFERROR(+VLOOKUP(D66,'[1]Migracion feb25 Ver to ATT'!$B:$B,1,FALSE), "NO")</f>
        <v>615-626-2756</v>
      </c>
      <c r="R66" s="26">
        <f t="shared" si="1"/>
        <v>15</v>
      </c>
    </row>
    <row r="67" spans="1:18" x14ac:dyDescent="0.3">
      <c r="A67" t="s">
        <v>22</v>
      </c>
      <c r="B67">
        <v>25</v>
      </c>
      <c r="C67">
        <v>3</v>
      </c>
      <c r="D67" s="7" t="s">
        <v>149</v>
      </c>
      <c r="E67" s="7" t="s">
        <v>150</v>
      </c>
      <c r="F67" s="7">
        <v>143</v>
      </c>
      <c r="G67" s="35">
        <v>-35</v>
      </c>
      <c r="H67" s="35">
        <v>50</v>
      </c>
      <c r="I67" s="7" t="s">
        <v>30</v>
      </c>
      <c r="J67" s="35">
        <v>4.2300000000000004</v>
      </c>
      <c r="K67" s="35">
        <v>1.92</v>
      </c>
      <c r="L67" s="7">
        <v>21.15</v>
      </c>
      <c r="M67">
        <f t="shared" si="2"/>
        <v>21.15</v>
      </c>
      <c r="N67" t="str">
        <f>+VLOOKUP(D67,'DISPOSITIVOS ACTIVOS'!B:D,3,FALSE)</f>
        <v>Iphone</v>
      </c>
      <c r="O67" t="str">
        <f>+VLOOKUP(D67,'DISPOSITIVOS ACTIVOS'!B:G,6,FALSE)</f>
        <v>LOPEZ, ALEJANDRA C</v>
      </c>
      <c r="P67" t="str">
        <f>+VLOOKUP(D67,'DISPOSITIVOS ACTIVOS'!$B$1:$H$299,7,FALSE)</f>
        <v>SALES WEST</v>
      </c>
      <c r="Q67" t="str">
        <f>IFERROR(+VLOOKUP(D67,'[1]Migracion feb25 Ver to ATT'!$B:$B,1,FALSE), "NO")</f>
        <v>615-626-3208</v>
      </c>
      <c r="R67" s="26">
        <f t="shared" ref="R67:R126" si="3">+IF(Q67="NO",25,15)</f>
        <v>15</v>
      </c>
    </row>
    <row r="68" spans="1:18" x14ac:dyDescent="0.3">
      <c r="A68" t="s">
        <v>22</v>
      </c>
      <c r="B68">
        <v>25</v>
      </c>
      <c r="C68">
        <v>3</v>
      </c>
      <c r="D68" s="7" t="s">
        <v>151</v>
      </c>
      <c r="E68" s="7" t="s">
        <v>152</v>
      </c>
      <c r="F68" s="7">
        <v>145</v>
      </c>
      <c r="G68" s="35">
        <v>-35</v>
      </c>
      <c r="H68" s="35">
        <v>50</v>
      </c>
      <c r="I68" s="7" t="s">
        <v>30</v>
      </c>
      <c r="J68" s="35">
        <v>4.2300000000000004</v>
      </c>
      <c r="K68" s="35">
        <v>1.92</v>
      </c>
      <c r="L68" s="7">
        <v>21.15</v>
      </c>
      <c r="M68">
        <f t="shared" si="2"/>
        <v>21.15</v>
      </c>
      <c r="N68">
        <f>+VLOOKUP(D68,'DISPOSITIVOS ACTIVOS'!B:D,3,FALSE)</f>
        <v>0</v>
      </c>
      <c r="O68" t="str">
        <f>+VLOOKUP(D68,'DISPOSITIVOS ACTIVOS'!B:G,6,FALSE)</f>
        <v>TOVAR, ZULLYMAR</v>
      </c>
      <c r="P68" t="str">
        <f>+VLOOKUP(D68,'DISPOSITIVOS ACTIVOS'!$B$1:$H$299,7,FALSE)</f>
        <v>SALES CENTRAL</v>
      </c>
      <c r="Q68" t="str">
        <f>IFERROR(+VLOOKUP(D68,'[1]Migracion feb25 Ver to ATT'!$B:$B,1,FALSE), "NO")</f>
        <v>615-626-3219</v>
      </c>
      <c r="R68" s="26">
        <f t="shared" si="3"/>
        <v>15</v>
      </c>
    </row>
    <row r="69" spans="1:18" x14ac:dyDescent="0.3">
      <c r="A69" t="s">
        <v>22</v>
      </c>
      <c r="B69">
        <v>25</v>
      </c>
      <c r="C69">
        <v>3</v>
      </c>
      <c r="D69" s="7" t="s">
        <v>153</v>
      </c>
      <c r="E69" s="7" t="s">
        <v>154</v>
      </c>
      <c r="F69" s="7">
        <v>147</v>
      </c>
      <c r="G69" s="7" t="s">
        <v>30</v>
      </c>
      <c r="H69" s="35">
        <v>50</v>
      </c>
      <c r="I69" s="35">
        <v>23.61</v>
      </c>
      <c r="J69" s="35">
        <v>4.87</v>
      </c>
      <c r="K69" s="35">
        <v>2.57</v>
      </c>
      <c r="L69" s="7">
        <v>81.05</v>
      </c>
      <c r="M69" s="41">
        <f t="shared" si="2"/>
        <v>81.05</v>
      </c>
      <c r="N69" t="str">
        <f>+VLOOKUP(D69,'DISPOSITIVOS ACTIVOS'!B:D,3,FALSE)</f>
        <v>Iphone</v>
      </c>
      <c r="O69" t="str">
        <f>+VLOOKUP(D69,'DISPOSITIVOS ACTIVOS'!B:G,6,FALSE)</f>
        <v>HERRERA MOLINA, JOSE CARLOS</v>
      </c>
      <c r="P69" t="str">
        <f>+VLOOKUP(D69,'DISPOSITIVOS ACTIVOS'!$B$1:$H$299,7,FALSE)</f>
        <v>CEO</v>
      </c>
      <c r="Q69" t="str">
        <f>IFERROR(+VLOOKUP(D69,'[1]Migracion feb25 Ver to ATT'!$B:$B,1,FALSE), "NO")</f>
        <v>NO</v>
      </c>
      <c r="R69" s="26">
        <f t="shared" si="3"/>
        <v>25</v>
      </c>
    </row>
    <row r="70" spans="1:18" x14ac:dyDescent="0.3">
      <c r="A70" t="s">
        <v>22</v>
      </c>
      <c r="B70">
        <v>25</v>
      </c>
      <c r="C70">
        <v>3</v>
      </c>
      <c r="D70" s="7" t="s">
        <v>155</v>
      </c>
      <c r="E70" s="7" t="s">
        <v>156</v>
      </c>
      <c r="F70" s="7">
        <v>149</v>
      </c>
      <c r="G70" s="7" t="s">
        <v>30</v>
      </c>
      <c r="H70" s="35">
        <v>60</v>
      </c>
      <c r="I70" s="35">
        <v>25</v>
      </c>
      <c r="J70" s="35">
        <v>4.99</v>
      </c>
      <c r="K70" s="35">
        <v>7.68</v>
      </c>
      <c r="L70" s="7">
        <v>97.67</v>
      </c>
      <c r="M70" s="41">
        <f t="shared" si="2"/>
        <v>97.67</v>
      </c>
      <c r="N70" t="str">
        <f>+VLOOKUP(D70,'DISPOSITIVOS ACTIVOS'!B:D,3,FALSE)</f>
        <v>Iphone</v>
      </c>
      <c r="O70" t="str">
        <f>+VLOOKUP(D70,'DISPOSITIVOS ACTIVOS'!B:G,6,FALSE)</f>
        <v>PRADO, JORGE A</v>
      </c>
      <c r="P70" t="str">
        <f>+VLOOKUP(D70,'DISPOSITIVOS ACTIVOS'!$B$1:$H$299,7,FALSE)</f>
        <v>COO</v>
      </c>
      <c r="Q70" t="str">
        <f>IFERROR(+VLOOKUP(D70,'[1]Migracion feb25 Ver to ATT'!$B:$B,1,FALSE), "NO")</f>
        <v>NO</v>
      </c>
      <c r="R70" s="26">
        <f t="shared" si="3"/>
        <v>25</v>
      </c>
    </row>
    <row r="71" spans="1:18" x14ac:dyDescent="0.3">
      <c r="A71" t="s">
        <v>22</v>
      </c>
      <c r="B71">
        <v>25</v>
      </c>
      <c r="C71">
        <v>3</v>
      </c>
      <c r="D71" s="7" t="s">
        <v>157</v>
      </c>
      <c r="E71" s="7" t="s">
        <v>158</v>
      </c>
      <c r="F71" s="7">
        <v>151</v>
      </c>
      <c r="G71" s="35">
        <v>-6.75</v>
      </c>
      <c r="H71" s="35">
        <v>50</v>
      </c>
      <c r="I71" s="7" t="s">
        <v>30</v>
      </c>
      <c r="J71" s="35">
        <v>4.87</v>
      </c>
      <c r="K71" s="35">
        <v>2.57</v>
      </c>
      <c r="L71" s="7">
        <v>50.69</v>
      </c>
      <c r="M71" s="41">
        <f t="shared" si="2"/>
        <v>50.69</v>
      </c>
      <c r="N71" t="str">
        <f>+VLOOKUP(D71,'DISPOSITIVOS ACTIVOS'!B:D,3,FALSE)</f>
        <v>Iphone</v>
      </c>
      <c r="O71" t="str">
        <f>+VLOOKUP(D71,'DISPOSITIVOS ACTIVOS'!B:G,6,FALSE)</f>
        <v>QUIJANO, NICOLAS</v>
      </c>
      <c r="P71" t="str">
        <f>+VLOOKUP(D71,'DISPOSITIVOS ACTIVOS'!$B$1:$H$299,7,FALSE)</f>
        <v>CFO</v>
      </c>
      <c r="Q71" t="str">
        <f>IFERROR(+VLOOKUP(D71,'[1]Migracion feb25 Ver to ATT'!$B:$B,1,FALSE), "NO")</f>
        <v>NO</v>
      </c>
      <c r="R71" s="26">
        <f t="shared" si="3"/>
        <v>25</v>
      </c>
    </row>
    <row r="72" spans="1:18" x14ac:dyDescent="0.3">
      <c r="A72" t="s">
        <v>22</v>
      </c>
      <c r="B72">
        <v>25</v>
      </c>
      <c r="C72">
        <v>3</v>
      </c>
      <c r="D72" s="7" t="s">
        <v>159</v>
      </c>
      <c r="E72" s="7" t="s">
        <v>160</v>
      </c>
      <c r="F72" s="7">
        <v>153</v>
      </c>
      <c r="G72" s="35">
        <v>-19.45</v>
      </c>
      <c r="H72" s="35">
        <v>50</v>
      </c>
      <c r="I72" s="35">
        <v>33.340000000000003</v>
      </c>
      <c r="J72" s="35">
        <v>4.87</v>
      </c>
      <c r="K72" s="35">
        <v>2.57</v>
      </c>
      <c r="L72" s="7">
        <v>71.33</v>
      </c>
      <c r="M72" s="41">
        <f t="shared" si="2"/>
        <v>71.33</v>
      </c>
      <c r="N72" t="str">
        <f>+VLOOKUP(D72,'DISPOSITIVOS ACTIVOS'!B:D,3,FALSE)</f>
        <v>Iphone</v>
      </c>
      <c r="O72" t="str">
        <f>+VLOOKUP(D72,'DISPOSITIVOS ACTIVOS'!B:G,6,FALSE)</f>
        <v>MADRIZ, JOHAN</v>
      </c>
      <c r="P72" t="str">
        <f>+VLOOKUP(D72,'DISPOSITIVOS ACTIVOS'!$B$1:$H$299,7,FALSE)</f>
        <v>President</v>
      </c>
      <c r="Q72" t="str">
        <f>IFERROR(+VLOOKUP(D72,'[1]Migracion feb25 Ver to ATT'!$B:$B,1,FALSE), "NO")</f>
        <v>NO</v>
      </c>
      <c r="R72" s="26">
        <f t="shared" si="3"/>
        <v>25</v>
      </c>
    </row>
    <row r="73" spans="1:18" x14ac:dyDescent="0.3">
      <c r="A73" t="s">
        <v>22</v>
      </c>
      <c r="B73">
        <v>25</v>
      </c>
      <c r="C73">
        <v>3</v>
      </c>
      <c r="D73" s="7" t="s">
        <v>161</v>
      </c>
      <c r="E73" s="7" t="s">
        <v>162</v>
      </c>
      <c r="F73" s="7">
        <v>155</v>
      </c>
      <c r="G73" s="7" t="s">
        <v>30</v>
      </c>
      <c r="H73" s="35">
        <v>50</v>
      </c>
      <c r="I73" s="35">
        <v>5</v>
      </c>
      <c r="J73" s="35">
        <v>4.87</v>
      </c>
      <c r="K73" s="35">
        <v>2.57</v>
      </c>
      <c r="L73" s="7">
        <v>62.44</v>
      </c>
      <c r="M73" s="41">
        <f t="shared" si="2"/>
        <v>62.44</v>
      </c>
      <c r="N73" t="str">
        <f>+VLOOKUP(D73,'DISPOSITIVOS ACTIVOS'!B:D,3,FALSE)</f>
        <v>Iphone</v>
      </c>
      <c r="O73" t="str">
        <f>+VLOOKUP(D73,'DISPOSITIVOS ACTIVOS'!B:G,6,FALSE)</f>
        <v>TELLO, IVAN E</v>
      </c>
      <c r="P73" t="str">
        <f>+VLOOKUP(D73,'DISPOSITIVOS ACTIVOS'!$B$1:$H$299,7,FALSE)</f>
        <v>SALES CENTRAL</v>
      </c>
      <c r="Q73" t="str">
        <f>IFERROR(+VLOOKUP(D73,'[1]Migracion feb25 Ver to ATT'!$B:$B,1,FALSE), "NO")</f>
        <v>NO</v>
      </c>
      <c r="R73" s="26">
        <f t="shared" si="3"/>
        <v>25</v>
      </c>
    </row>
    <row r="74" spans="1:18" x14ac:dyDescent="0.3">
      <c r="A74" t="s">
        <v>22</v>
      </c>
      <c r="B74">
        <v>25</v>
      </c>
      <c r="C74">
        <v>3</v>
      </c>
      <c r="D74" s="7" t="s">
        <v>163</v>
      </c>
      <c r="E74" s="7" t="s">
        <v>164</v>
      </c>
      <c r="F74" s="7">
        <v>157</v>
      </c>
      <c r="G74" s="35">
        <v>7</v>
      </c>
      <c r="H74" s="35">
        <v>15</v>
      </c>
      <c r="I74" s="7" t="s">
        <v>30</v>
      </c>
      <c r="J74" s="35">
        <v>3.75</v>
      </c>
      <c r="K74" s="7" t="s">
        <v>30</v>
      </c>
      <c r="L74" s="7">
        <v>25.75</v>
      </c>
      <c r="M74">
        <f t="shared" si="2"/>
        <v>25.75</v>
      </c>
      <c r="N74" t="str">
        <f>+VLOOKUP(D74,'DISPOSITIVOS ACTIVOS'!B:D,3,FALSE)</f>
        <v>Ipad</v>
      </c>
      <c r="O74" t="str">
        <f>+VLOOKUP(D74,'DISPOSITIVOS ACTIVOS'!B:G,6,FALSE)</f>
        <v>SILVA, ELISA</v>
      </c>
      <c r="P74" t="str">
        <f>+VLOOKUP(D74,'DISPOSITIVOS ACTIVOS'!$B$1:$H$299,7,FALSE)</f>
        <v>SALES WEST</v>
      </c>
      <c r="Q74" t="str">
        <f>IFERROR(+VLOOKUP(D74,'[1]Migracion feb25 Ver to ATT'!$B:$B,1,FALSE), "NO")</f>
        <v>NO</v>
      </c>
      <c r="R74" s="26">
        <f t="shared" si="3"/>
        <v>25</v>
      </c>
    </row>
    <row r="75" spans="1:18" x14ac:dyDescent="0.3">
      <c r="A75" t="s">
        <v>22</v>
      </c>
      <c r="B75">
        <v>25</v>
      </c>
      <c r="C75">
        <v>3</v>
      </c>
      <c r="D75" s="7" t="s">
        <v>165</v>
      </c>
      <c r="E75" s="7" t="s">
        <v>166</v>
      </c>
      <c r="F75" s="7">
        <v>159</v>
      </c>
      <c r="G75" s="35">
        <v>-16.670000000000002</v>
      </c>
      <c r="H75" s="35">
        <v>50</v>
      </c>
      <c r="I75" s="7" t="s">
        <v>30</v>
      </c>
      <c r="J75" s="35">
        <v>4.2300000000000004</v>
      </c>
      <c r="K75" s="35">
        <v>1.92</v>
      </c>
      <c r="L75" s="7">
        <v>39.479999999999997</v>
      </c>
      <c r="M75" s="41">
        <f t="shared" si="2"/>
        <v>39.479999999999997</v>
      </c>
      <c r="N75" t="str">
        <f>+VLOOKUP(D75,'DISPOSITIVOS ACTIVOS'!B:D,3,FALSE)</f>
        <v xml:space="preserve">Galaxy </v>
      </c>
      <c r="O75" t="str">
        <f>+VLOOKUP(D75,'DISPOSITIVOS ACTIVOS'!B:G,6,FALSE)</f>
        <v>REMBERT, ANTORIUS DAVUN</v>
      </c>
      <c r="P75" t="str">
        <f>+VLOOKUP(D75,'DISPOSITIVOS ACTIVOS'!$B$1:$H$299,7,FALSE)</f>
        <v>LOGISTICS SOUTH</v>
      </c>
      <c r="Q75" t="str">
        <f>IFERROR(+VLOOKUP(D75,'[1]Migracion feb25 Ver to ATT'!$B:$B,1,FALSE), "NO")</f>
        <v>615-795-8193</v>
      </c>
      <c r="R75" s="26">
        <f t="shared" si="3"/>
        <v>15</v>
      </c>
    </row>
    <row r="76" spans="1:18" x14ac:dyDescent="0.3">
      <c r="A76" t="s">
        <v>22</v>
      </c>
      <c r="B76">
        <v>25</v>
      </c>
      <c r="C76">
        <v>3</v>
      </c>
      <c r="D76" s="7" t="s">
        <v>167</v>
      </c>
      <c r="E76" s="7" t="s">
        <v>168</v>
      </c>
      <c r="F76" s="7">
        <v>161</v>
      </c>
      <c r="G76" s="35">
        <v>-16.670000000000002</v>
      </c>
      <c r="H76" s="35">
        <v>50</v>
      </c>
      <c r="I76" s="7" t="s">
        <v>30</v>
      </c>
      <c r="J76" s="35">
        <v>4.2300000000000004</v>
      </c>
      <c r="K76" s="35">
        <v>1.92</v>
      </c>
      <c r="L76" s="7">
        <v>39.479999999999997</v>
      </c>
      <c r="M76" s="41">
        <f t="shared" si="2"/>
        <v>39.479999999999997</v>
      </c>
      <c r="N76" t="str">
        <f>+VLOOKUP(D76,'DISPOSITIVOS ACTIVOS'!B:D,3,FALSE)</f>
        <v xml:space="preserve">Galaxy </v>
      </c>
      <c r="O76" t="str">
        <f>+VLOOKUP(D76,'DISPOSITIVOS ACTIVOS'!B:G,6,FALSE)</f>
        <v>FERRER BRACHO, MERVIN J</v>
      </c>
      <c r="P76" t="str">
        <f>+VLOOKUP(D76,'DISPOSITIVOS ACTIVOS'!$B$1:$H$299,7,FALSE)</f>
        <v>LOGISTICS CENTRAL</v>
      </c>
      <c r="Q76" t="str">
        <f>IFERROR(+VLOOKUP(D76,'[1]Migracion feb25 Ver to ATT'!$B:$B,1,FALSE), "NO")</f>
        <v>615-795-8195</v>
      </c>
      <c r="R76" s="26">
        <f t="shared" si="3"/>
        <v>15</v>
      </c>
    </row>
    <row r="77" spans="1:18" x14ac:dyDescent="0.3">
      <c r="A77" t="s">
        <v>22</v>
      </c>
      <c r="B77">
        <v>25</v>
      </c>
      <c r="C77">
        <v>3</v>
      </c>
      <c r="D77" s="7" t="s">
        <v>169</v>
      </c>
      <c r="E77" s="7" t="s">
        <v>170</v>
      </c>
      <c r="F77" s="7">
        <v>163</v>
      </c>
      <c r="G77" s="35">
        <v>-35</v>
      </c>
      <c r="H77" s="35">
        <v>50</v>
      </c>
      <c r="I77" s="7" t="s">
        <v>30</v>
      </c>
      <c r="J77" s="35">
        <v>4.2300000000000004</v>
      </c>
      <c r="K77" s="35">
        <v>1.92</v>
      </c>
      <c r="L77" s="7">
        <v>21.15</v>
      </c>
      <c r="M77">
        <f t="shared" si="2"/>
        <v>21.15</v>
      </c>
      <c r="N77" t="str">
        <f>+VLOOKUP(D77,'DISPOSITIVOS ACTIVOS'!B:D,3,FALSE)</f>
        <v>Iphone</v>
      </c>
      <c r="O77" t="str">
        <f>+VLOOKUP(D77,'DISPOSITIVOS ACTIVOS'!B:G,6,FALSE)</f>
        <v>REYES, YULIN</v>
      </c>
      <c r="P77" t="str">
        <f>+VLOOKUP(D77,'DISPOSITIVOS ACTIVOS'!$B$1:$H$299,7,FALSE)</f>
        <v>SALES CENTRAL</v>
      </c>
      <c r="Q77" t="str">
        <f>IFERROR(+VLOOKUP(D77,'[1]Migracion feb25 Ver to ATT'!$B:$B,1,FALSE), "NO")</f>
        <v>615-804-0516</v>
      </c>
      <c r="R77" s="26">
        <f t="shared" si="3"/>
        <v>15</v>
      </c>
    </row>
    <row r="78" spans="1:18" x14ac:dyDescent="0.3">
      <c r="A78" t="s">
        <v>22</v>
      </c>
      <c r="B78">
        <v>25</v>
      </c>
      <c r="C78">
        <v>3</v>
      </c>
      <c r="D78" s="7" t="s">
        <v>171</v>
      </c>
      <c r="E78" s="7" t="s">
        <v>172</v>
      </c>
      <c r="F78" s="7">
        <v>165</v>
      </c>
      <c r="G78" s="7" t="s">
        <v>30</v>
      </c>
      <c r="H78" s="35">
        <v>50</v>
      </c>
      <c r="I78" s="7" t="s">
        <v>30</v>
      </c>
      <c r="J78" s="35">
        <v>4.87</v>
      </c>
      <c r="K78" s="35">
        <v>2.57</v>
      </c>
      <c r="L78" s="7">
        <v>57.44</v>
      </c>
      <c r="M78" s="41">
        <f t="shared" si="2"/>
        <v>57.44</v>
      </c>
      <c r="N78" t="str">
        <f>+VLOOKUP(D78,'DISPOSITIVOS ACTIVOS'!B:D,3,FALSE)</f>
        <v>Iphone</v>
      </c>
      <c r="O78" t="str">
        <f>+VLOOKUP(D78,'DISPOSITIVOS ACTIVOS'!B:G,6,FALSE)</f>
        <v>QUEVEDO, NAIROVI Y</v>
      </c>
      <c r="P78" t="str">
        <f>+VLOOKUP(D78,'DISPOSITIVOS ACTIVOS'!$B$1:$H$299,7,FALSE)</f>
        <v>SALES WEST</v>
      </c>
      <c r="Q78" t="str">
        <f>IFERROR(+VLOOKUP(D78,'[1]Migracion feb25 Ver to ATT'!$B:$B,1,FALSE), "NO")</f>
        <v>NO</v>
      </c>
      <c r="R78" s="26">
        <f t="shared" si="3"/>
        <v>25</v>
      </c>
    </row>
    <row r="79" spans="1:18" x14ac:dyDescent="0.3">
      <c r="A79" t="s">
        <v>22</v>
      </c>
      <c r="B79">
        <v>25</v>
      </c>
      <c r="C79">
        <v>3</v>
      </c>
      <c r="D79" s="7" t="s">
        <v>173</v>
      </c>
      <c r="E79" s="7" t="s">
        <v>174</v>
      </c>
      <c r="F79" s="7">
        <v>167</v>
      </c>
      <c r="G79" s="7" t="s">
        <v>30</v>
      </c>
      <c r="H79" s="35">
        <v>50</v>
      </c>
      <c r="I79" s="35">
        <v>5</v>
      </c>
      <c r="J79" s="35">
        <v>4.87</v>
      </c>
      <c r="K79" s="35">
        <v>2.57</v>
      </c>
      <c r="L79" s="7">
        <v>62.44</v>
      </c>
      <c r="M79" s="41">
        <f t="shared" si="2"/>
        <v>62.44</v>
      </c>
      <c r="N79" t="str">
        <f>+VLOOKUP(D79,'DISPOSITIVOS ACTIVOS'!B:D,3,FALSE)</f>
        <v>Iphone</v>
      </c>
      <c r="O79" t="str">
        <f>+VLOOKUP(D79,'DISPOSITIVOS ACTIVOS'!B:G,6,FALSE)</f>
        <v>PALENCIA RODRIGUEZ, LEONARDO R</v>
      </c>
      <c r="P79" t="str">
        <f>+VLOOKUP(D79,'DISPOSITIVOS ACTIVOS'!$B$1:$H$299,7,FALSE)</f>
        <v>SALES CENTRAL</v>
      </c>
      <c r="Q79" t="str">
        <f>IFERROR(+VLOOKUP(D79,'[1]Migracion feb25 Ver to ATT'!$B:$B,1,FALSE), "NO")</f>
        <v>NO</v>
      </c>
      <c r="R79" s="26">
        <f t="shared" si="3"/>
        <v>25</v>
      </c>
    </row>
    <row r="80" spans="1:18" x14ac:dyDescent="0.3">
      <c r="A80" t="s">
        <v>22</v>
      </c>
      <c r="B80">
        <v>25</v>
      </c>
      <c r="C80">
        <v>3</v>
      </c>
      <c r="D80" s="7" t="s">
        <v>175</v>
      </c>
      <c r="E80" s="7" t="s">
        <v>176</v>
      </c>
      <c r="F80" s="7">
        <v>169</v>
      </c>
      <c r="G80" s="35">
        <v>-16.670000000000002</v>
      </c>
      <c r="H80" s="35">
        <v>50</v>
      </c>
      <c r="I80" s="7" t="s">
        <v>30</v>
      </c>
      <c r="J80" s="35">
        <v>4.2300000000000004</v>
      </c>
      <c r="K80" s="35">
        <v>1.92</v>
      </c>
      <c r="L80" s="7">
        <v>39.479999999999997</v>
      </c>
      <c r="M80" s="41">
        <f t="shared" si="2"/>
        <v>39.479999999999997</v>
      </c>
      <c r="N80" t="str">
        <f>+VLOOKUP(D80,'DISPOSITIVOS ACTIVOS'!B:D,3,FALSE)</f>
        <v xml:space="preserve">Galaxy </v>
      </c>
      <c r="O80" t="str">
        <f>+VLOOKUP(D80,'DISPOSITIVOS ACTIVOS'!B:G,6,FALSE)</f>
        <v>PEREZ, YULIER</v>
      </c>
      <c r="P80" t="str">
        <f>+VLOOKUP(D80,'DISPOSITIVOS ACTIVOS'!$B$1:$H$299,7,FALSE)</f>
        <v>LOGISTICS CENTRAL</v>
      </c>
      <c r="Q80" t="str">
        <f>IFERROR(+VLOOKUP(D80,'[1]Migracion feb25 Ver to ATT'!$B:$B,1,FALSE), "NO")</f>
        <v>615-830-4944</v>
      </c>
      <c r="R80" s="26">
        <f t="shared" si="3"/>
        <v>15</v>
      </c>
    </row>
    <row r="81" spans="1:18" x14ac:dyDescent="0.3">
      <c r="A81" t="s">
        <v>22</v>
      </c>
      <c r="B81">
        <v>25</v>
      </c>
      <c r="C81">
        <v>3</v>
      </c>
      <c r="D81" s="7" t="s">
        <v>177</v>
      </c>
      <c r="E81" s="7" t="s">
        <v>178</v>
      </c>
      <c r="F81" s="7">
        <v>171</v>
      </c>
      <c r="G81" s="7" t="s">
        <v>30</v>
      </c>
      <c r="H81" s="35">
        <v>50</v>
      </c>
      <c r="I81" s="7" t="s">
        <v>30</v>
      </c>
      <c r="J81" s="35">
        <v>4.87</v>
      </c>
      <c r="K81" s="35">
        <v>2.57</v>
      </c>
      <c r="L81" s="7">
        <v>57.44</v>
      </c>
      <c r="M81" s="41">
        <f t="shared" si="2"/>
        <v>57.44</v>
      </c>
      <c r="N81" t="str">
        <f>+VLOOKUP(D81,'DISPOSITIVOS ACTIVOS'!B:D,3,FALSE)</f>
        <v>Iphone</v>
      </c>
      <c r="O81" t="str">
        <f>+VLOOKUP(D81,'DISPOSITIVOS ACTIVOS'!B:G,6,FALSE)</f>
        <v>QUIJANO, NICOLAS</v>
      </c>
      <c r="P81" t="str">
        <f>+VLOOKUP(D81,'DISPOSITIVOS ACTIVOS'!$B$1:$H$299,7,FALSE)</f>
        <v>CFO</v>
      </c>
      <c r="Q81" t="str">
        <f>IFERROR(+VLOOKUP(D81,'[1]Migracion feb25 Ver to ATT'!$B:$B,1,FALSE), "NO")</f>
        <v>NO</v>
      </c>
      <c r="R81" s="26">
        <f t="shared" si="3"/>
        <v>25</v>
      </c>
    </row>
    <row r="82" spans="1:18" x14ac:dyDescent="0.3">
      <c r="A82" t="s">
        <v>22</v>
      </c>
      <c r="B82">
        <v>25</v>
      </c>
      <c r="C82">
        <v>3</v>
      </c>
      <c r="D82" s="7" t="s">
        <v>179</v>
      </c>
      <c r="E82" s="7" t="s">
        <v>180</v>
      </c>
      <c r="F82" s="7">
        <v>173</v>
      </c>
      <c r="G82" s="35">
        <v>-35</v>
      </c>
      <c r="H82" s="35">
        <v>50</v>
      </c>
      <c r="I82" s="7" t="s">
        <v>30</v>
      </c>
      <c r="J82" s="35">
        <v>4.2300000000000004</v>
      </c>
      <c r="K82" s="35">
        <v>1.92</v>
      </c>
      <c r="L82" s="7">
        <v>21.15</v>
      </c>
      <c r="M82">
        <f t="shared" si="2"/>
        <v>21.15</v>
      </c>
      <c r="N82" t="str">
        <f>+VLOOKUP(D82,'DISPOSITIVOS ACTIVOS'!B:D,3,FALSE)</f>
        <v>Iphone</v>
      </c>
      <c r="O82" t="str">
        <f>+VLOOKUP(D82,'DISPOSITIVOS ACTIVOS'!B:G,6,FALSE)</f>
        <v>PEREZ HERNANDEZ, NAYRE</v>
      </c>
      <c r="P82" t="str">
        <f>+VLOOKUP(D82,'DISPOSITIVOS ACTIVOS'!$B$1:$H$299,7,FALSE)</f>
        <v>SALES CENTRAL</v>
      </c>
      <c r="Q82" t="str">
        <f>IFERROR(+VLOOKUP(D82,'[1]Migracion feb25 Ver to ATT'!$B:$B,1,FALSE), "NO")</f>
        <v>615-840-0789</v>
      </c>
      <c r="R82" s="26">
        <f t="shared" si="3"/>
        <v>15</v>
      </c>
    </row>
    <row r="83" spans="1:18" x14ac:dyDescent="0.3">
      <c r="A83" t="s">
        <v>22</v>
      </c>
      <c r="B83">
        <v>25</v>
      </c>
      <c r="C83">
        <v>3</v>
      </c>
      <c r="D83" s="7" t="s">
        <v>181</v>
      </c>
      <c r="E83" s="7" t="s">
        <v>182</v>
      </c>
      <c r="F83" s="7">
        <v>175</v>
      </c>
      <c r="G83" s="35">
        <v>-35</v>
      </c>
      <c r="H83" s="35">
        <v>50</v>
      </c>
      <c r="I83" s="7" t="s">
        <v>30</v>
      </c>
      <c r="J83" s="35">
        <v>4.2300000000000004</v>
      </c>
      <c r="K83" s="35">
        <v>1.92</v>
      </c>
      <c r="L83" s="7">
        <v>21.15</v>
      </c>
      <c r="M83">
        <f t="shared" si="2"/>
        <v>21.15</v>
      </c>
      <c r="N83" t="str">
        <f>+VLOOKUP(D83,'DISPOSITIVOS ACTIVOS'!B:D,3,FALSE)</f>
        <v>Iphone</v>
      </c>
      <c r="O83" t="str">
        <f>+VLOOKUP(D83,'DISPOSITIVOS ACTIVOS'!B:G,6,FALSE)</f>
        <v>ROA, INGRID MARCELA</v>
      </c>
      <c r="P83" t="str">
        <f>+VLOOKUP(D83,'DISPOSITIVOS ACTIVOS'!$B$1:$H$299,7,FALSE)</f>
        <v>SALES SOUTH</v>
      </c>
      <c r="Q83" t="str">
        <f>IFERROR(+VLOOKUP(D83,'[1]Migracion feb25 Ver to ATT'!$B:$B,1,FALSE), "NO")</f>
        <v>615-854-5649</v>
      </c>
      <c r="R83" s="26">
        <f t="shared" si="3"/>
        <v>15</v>
      </c>
    </row>
    <row r="84" spans="1:18" x14ac:dyDescent="0.3">
      <c r="A84" t="s">
        <v>22</v>
      </c>
      <c r="B84">
        <v>25</v>
      </c>
      <c r="C84">
        <v>3</v>
      </c>
      <c r="D84" s="7" t="s">
        <v>183</v>
      </c>
      <c r="E84" s="7" t="s">
        <v>184</v>
      </c>
      <c r="F84" s="7">
        <v>177</v>
      </c>
      <c r="G84" s="35">
        <v>-35</v>
      </c>
      <c r="H84" s="35">
        <v>50</v>
      </c>
      <c r="I84" s="7" t="s">
        <v>30</v>
      </c>
      <c r="J84" s="35">
        <v>4.2300000000000004</v>
      </c>
      <c r="K84" s="35">
        <v>1.92</v>
      </c>
      <c r="L84" s="7">
        <v>21.15</v>
      </c>
      <c r="M84">
        <f t="shared" si="2"/>
        <v>21.15</v>
      </c>
      <c r="N84" t="str">
        <f>+VLOOKUP(D84,'DISPOSITIVOS ACTIVOS'!B:D,3,FALSE)</f>
        <v>Iphone</v>
      </c>
      <c r="O84" t="str">
        <f>+VLOOKUP(D84,'DISPOSITIVOS ACTIVOS'!B:G,6,FALSE)</f>
        <v>TORREALBA TORRES, CAROLINA</v>
      </c>
      <c r="P84" t="str">
        <f>+VLOOKUP(D84,'DISPOSITIVOS ACTIVOS'!$B$1:$H$299,7,FALSE)</f>
        <v>SALES WEST</v>
      </c>
      <c r="Q84" t="str">
        <f>IFERROR(+VLOOKUP(D84,'[1]Migracion feb25 Ver to ATT'!$B:$B,1,FALSE), "NO")</f>
        <v>615-854-5797</v>
      </c>
      <c r="R84" s="26">
        <f t="shared" si="3"/>
        <v>15</v>
      </c>
    </row>
    <row r="85" spans="1:18" x14ac:dyDescent="0.3">
      <c r="A85" t="s">
        <v>22</v>
      </c>
      <c r="B85">
        <v>25</v>
      </c>
      <c r="C85">
        <v>3</v>
      </c>
      <c r="D85" s="7" t="s">
        <v>185</v>
      </c>
      <c r="E85" s="7" t="s">
        <v>186</v>
      </c>
      <c r="F85" s="7">
        <v>179</v>
      </c>
      <c r="G85" s="35">
        <v>-16.670000000000002</v>
      </c>
      <c r="H85" s="35">
        <v>50</v>
      </c>
      <c r="I85" s="7" t="s">
        <v>30</v>
      </c>
      <c r="J85" s="35">
        <v>4.2300000000000004</v>
      </c>
      <c r="K85" s="35">
        <v>1.92</v>
      </c>
      <c r="L85" s="7">
        <v>39.479999999999997</v>
      </c>
      <c r="M85" s="41">
        <f t="shared" si="2"/>
        <v>39.479999999999997</v>
      </c>
      <c r="N85" t="str">
        <f>+VLOOKUP(D85,'DISPOSITIVOS ACTIVOS'!B:D,3,FALSE)</f>
        <v xml:space="preserve">Galaxy </v>
      </c>
      <c r="O85" t="str">
        <f>+VLOOKUP(D85,'DISPOSITIVOS ACTIVOS'!B:G,6,FALSE)</f>
        <v>TANGREDI, JORGE</v>
      </c>
      <c r="P85" t="str">
        <f>+VLOOKUP(D85,'DISPOSITIVOS ACTIVOS'!$B$1:$H$299,7,FALSE)</f>
        <v>LOGISTICS CENTRAL</v>
      </c>
      <c r="Q85" t="str">
        <f>IFERROR(+VLOOKUP(D85,'[1]Migracion feb25 Ver to ATT'!$B:$B,1,FALSE), "NO")</f>
        <v>615-862-1976</v>
      </c>
      <c r="R85" s="26">
        <f t="shared" si="3"/>
        <v>15</v>
      </c>
    </row>
    <row r="86" spans="1:18" x14ac:dyDescent="0.3">
      <c r="A86" t="s">
        <v>22</v>
      </c>
      <c r="B86">
        <v>25</v>
      </c>
      <c r="C86">
        <v>3</v>
      </c>
      <c r="D86" s="7" t="s">
        <v>187</v>
      </c>
      <c r="E86" s="7" t="s">
        <v>188</v>
      </c>
      <c r="F86" s="7">
        <v>181</v>
      </c>
      <c r="G86" s="35">
        <v>-7.45</v>
      </c>
      <c r="H86" s="35">
        <v>50</v>
      </c>
      <c r="I86" s="7" t="s">
        <v>30</v>
      </c>
      <c r="J86" s="35">
        <v>4.87</v>
      </c>
      <c r="K86" s="35">
        <v>2.57</v>
      </c>
      <c r="L86" s="7">
        <v>49.99</v>
      </c>
      <c r="M86" s="41">
        <f t="shared" si="2"/>
        <v>49.99</v>
      </c>
      <c r="N86" t="str">
        <f>+VLOOKUP(D86,'DISPOSITIVOS ACTIVOS'!B:D,3,FALSE)</f>
        <v>Galaxy</v>
      </c>
      <c r="O86" t="str">
        <f>+VLOOKUP(D86,'DISPOSITIVOS ACTIVOS'!B:G,6,FALSE)</f>
        <v>BAHENA, RUDY</v>
      </c>
      <c r="P86" t="str">
        <f>+VLOOKUP(D86,'DISPOSITIVOS ACTIVOS'!$B$1:$H$299,7,FALSE)</f>
        <v>LOGISTICS WEST</v>
      </c>
      <c r="Q86" t="str">
        <f>IFERROR(+VLOOKUP(D86,'[1]Migracion feb25 Ver to ATT'!$B:$B,1,FALSE), "NO")</f>
        <v>NO</v>
      </c>
      <c r="R86" s="26">
        <f t="shared" si="3"/>
        <v>25</v>
      </c>
    </row>
    <row r="87" spans="1:18" x14ac:dyDescent="0.3">
      <c r="A87" t="s">
        <v>22</v>
      </c>
      <c r="B87">
        <v>25</v>
      </c>
      <c r="C87">
        <v>3</v>
      </c>
      <c r="D87" s="7" t="s">
        <v>189</v>
      </c>
      <c r="E87" s="7" t="s">
        <v>190</v>
      </c>
      <c r="F87" s="7">
        <v>183</v>
      </c>
      <c r="G87" s="35">
        <v>-35</v>
      </c>
      <c r="H87" s="35">
        <v>50</v>
      </c>
      <c r="I87" s="7" t="s">
        <v>30</v>
      </c>
      <c r="J87" s="35">
        <v>4.2300000000000004</v>
      </c>
      <c r="K87" s="35">
        <v>1.92</v>
      </c>
      <c r="L87" s="7">
        <v>21.15</v>
      </c>
      <c r="M87">
        <f t="shared" si="2"/>
        <v>21.15</v>
      </c>
      <c r="N87" s="4" t="s">
        <v>191</v>
      </c>
      <c r="O87" t="str">
        <f>+VLOOKUP(D87,'DISPOSITIVOS ACTIVOS'!B:G,6,FALSE)</f>
        <v>TORRES, LUIS</v>
      </c>
      <c r="P87" t="str">
        <f>+VLOOKUP(D87,'DISPOSITIVOS ACTIVOS'!$B$1:$H$299,7,FALSE)</f>
        <v>MERCHANDISER NORTH</v>
      </c>
      <c r="Q87" t="str">
        <f>IFERROR(+VLOOKUP(D87,'[1]Migracion feb25 Ver to ATT'!$B:$B,1,FALSE), "NO")</f>
        <v>615-878-0405</v>
      </c>
      <c r="R87" s="26">
        <f t="shared" si="3"/>
        <v>15</v>
      </c>
    </row>
    <row r="88" spans="1:18" x14ac:dyDescent="0.3">
      <c r="A88" t="s">
        <v>22</v>
      </c>
      <c r="B88">
        <v>25</v>
      </c>
      <c r="C88">
        <v>3</v>
      </c>
      <c r="D88" s="7" t="s">
        <v>192</v>
      </c>
      <c r="E88" s="7" t="s">
        <v>166</v>
      </c>
      <c r="F88" s="7">
        <v>185</v>
      </c>
      <c r="G88" s="35">
        <v>-16.670000000000002</v>
      </c>
      <c r="H88" s="35">
        <v>50</v>
      </c>
      <c r="I88" s="7" t="s">
        <v>30</v>
      </c>
      <c r="J88" s="35">
        <v>4.2300000000000004</v>
      </c>
      <c r="K88" s="35">
        <v>1.92</v>
      </c>
      <c r="L88" s="7">
        <v>39.479999999999997</v>
      </c>
      <c r="M88" s="41">
        <f t="shared" si="2"/>
        <v>39.479999999999997</v>
      </c>
      <c r="N88" t="str">
        <f>+VLOOKUP(D88,'DISPOSITIVOS ACTIVOS'!B:D,3,FALSE)</f>
        <v xml:space="preserve">Galaxy </v>
      </c>
      <c r="O88" t="str">
        <f>+VLOOKUP(D88,'DISPOSITIVOS ACTIVOS'!B:G,6,FALSE)</f>
        <v>FUENMAYOR, ANDRES</v>
      </c>
      <c r="P88" t="str">
        <f>+VLOOKUP(D88,'DISPOSITIVOS ACTIVOS'!$B$1:$H$299,7,FALSE)</f>
        <v>LOGISTICS CENTRAL</v>
      </c>
      <c r="Q88" t="str">
        <f>IFERROR(+VLOOKUP(D88,'[1]Migracion feb25 Ver to ATT'!$B:$B,1,FALSE), "NO")</f>
        <v>615-879-8762</v>
      </c>
      <c r="R88" s="26">
        <f t="shared" si="3"/>
        <v>15</v>
      </c>
    </row>
    <row r="89" spans="1:18" x14ac:dyDescent="0.3">
      <c r="A89" t="s">
        <v>22</v>
      </c>
      <c r="B89">
        <v>25</v>
      </c>
      <c r="C89">
        <v>3</v>
      </c>
      <c r="D89" s="7" t="s">
        <v>193</v>
      </c>
      <c r="E89" s="7" t="s">
        <v>194</v>
      </c>
      <c r="F89" s="7">
        <v>187</v>
      </c>
      <c r="G89" s="7" t="s">
        <v>30</v>
      </c>
      <c r="H89" s="35">
        <v>50</v>
      </c>
      <c r="I89" s="7" t="s">
        <v>30</v>
      </c>
      <c r="J89" s="35">
        <v>0.67</v>
      </c>
      <c r="K89" s="35">
        <v>0.56999999999999995</v>
      </c>
      <c r="L89" s="7">
        <v>51.24</v>
      </c>
      <c r="M89" s="41">
        <f t="shared" si="2"/>
        <v>51.24</v>
      </c>
      <c r="N89" s="4" t="s">
        <v>40</v>
      </c>
      <c r="O89" t="e">
        <f>+VLOOKUP(D89,'DISPOSITIVOS ACTIVOS'!B:G,6,FALSE)</f>
        <v>#N/A</v>
      </c>
      <c r="P89" t="e">
        <f>+VLOOKUP(D89,'DISPOSITIVOS ACTIVOS'!$B$1:$H$299,7,FALSE)</f>
        <v>#N/A</v>
      </c>
      <c r="Q89" t="str">
        <f>IFERROR(+VLOOKUP(D89,'[1]Migracion feb25 Ver to ATT'!$B:$B,1,FALSE), "NO")</f>
        <v>615-881-4574</v>
      </c>
      <c r="R89" s="26">
        <f t="shared" si="3"/>
        <v>15</v>
      </c>
    </row>
    <row r="90" spans="1:18" x14ac:dyDescent="0.3">
      <c r="A90" t="s">
        <v>22</v>
      </c>
      <c r="B90">
        <v>25</v>
      </c>
      <c r="C90">
        <v>3</v>
      </c>
      <c r="D90" s="7" t="s">
        <v>195</v>
      </c>
      <c r="E90" s="7" t="s">
        <v>196</v>
      </c>
      <c r="F90" s="7">
        <v>189</v>
      </c>
      <c r="G90" s="35">
        <v>-16.670000000000002</v>
      </c>
      <c r="H90" s="35">
        <v>50</v>
      </c>
      <c r="I90" s="7" t="s">
        <v>30</v>
      </c>
      <c r="J90" s="35">
        <v>4.2300000000000004</v>
      </c>
      <c r="K90" s="35">
        <v>1.92</v>
      </c>
      <c r="L90" s="7">
        <v>39.479999999999997</v>
      </c>
      <c r="M90" s="41">
        <f t="shared" si="2"/>
        <v>39.479999999999997</v>
      </c>
      <c r="N90" t="str">
        <f>+VLOOKUP(D90,'DISPOSITIVOS ACTIVOS'!B:D,3,FALSE)</f>
        <v xml:space="preserve">Galaxy </v>
      </c>
      <c r="O90" t="str">
        <f>+VLOOKUP(D90,'DISPOSITIVOS ACTIVOS'!B:G,6,FALSE)</f>
        <v>BAHENA, RUDY</v>
      </c>
      <c r="P90" t="str">
        <f>+VLOOKUP(D90,'DISPOSITIVOS ACTIVOS'!$B$1:$H$299,7,FALSE)</f>
        <v>LOGISTICS WEST</v>
      </c>
      <c r="Q90" t="str">
        <f>IFERROR(+VLOOKUP(D90,'[1]Migracion feb25 Ver to ATT'!$B:$B,1,FALSE), "NO")</f>
        <v>615-906-5129</v>
      </c>
      <c r="R90" s="26">
        <f t="shared" si="3"/>
        <v>15</v>
      </c>
    </row>
    <row r="91" spans="1:18" x14ac:dyDescent="0.3">
      <c r="A91" t="s">
        <v>22</v>
      </c>
      <c r="B91">
        <v>25</v>
      </c>
      <c r="C91">
        <v>3</v>
      </c>
      <c r="D91" s="7" t="s">
        <v>197</v>
      </c>
      <c r="E91" s="7" t="s">
        <v>198</v>
      </c>
      <c r="F91" s="7">
        <v>191</v>
      </c>
      <c r="G91" s="35">
        <v>-7.45</v>
      </c>
      <c r="H91" s="35">
        <v>50</v>
      </c>
      <c r="I91" s="7" t="s">
        <v>30</v>
      </c>
      <c r="J91" s="35">
        <v>4.87</v>
      </c>
      <c r="K91" s="35">
        <v>2.57</v>
      </c>
      <c r="L91" s="7">
        <v>49.99</v>
      </c>
      <c r="M91" s="41">
        <f t="shared" si="2"/>
        <v>49.99</v>
      </c>
      <c r="N91" t="s">
        <v>37</v>
      </c>
      <c r="O91" t="s">
        <v>37</v>
      </c>
      <c r="P91" t="e">
        <f>+VLOOKUP(D91,'DISPOSITIVOS ACTIVOS'!$B$1:$H$299,7,FALSE)</f>
        <v>#N/A</v>
      </c>
      <c r="Q91" t="str">
        <f>IFERROR(+VLOOKUP(D91,'[1]Migracion feb25 Ver to ATT'!$B:$B,1,FALSE), "NO")</f>
        <v>NO</v>
      </c>
      <c r="R91" s="26">
        <f t="shared" si="3"/>
        <v>25</v>
      </c>
    </row>
    <row r="92" spans="1:18" x14ac:dyDescent="0.3">
      <c r="A92" t="s">
        <v>22</v>
      </c>
      <c r="B92">
        <v>25</v>
      </c>
      <c r="C92">
        <v>3</v>
      </c>
      <c r="D92" s="7" t="s">
        <v>199</v>
      </c>
      <c r="E92" s="7" t="s">
        <v>116</v>
      </c>
      <c r="F92" s="7">
        <v>193</v>
      </c>
      <c r="G92" s="35">
        <v>-35</v>
      </c>
      <c r="H92" s="35">
        <v>50</v>
      </c>
      <c r="I92" s="7" t="s">
        <v>30</v>
      </c>
      <c r="J92" s="35">
        <v>4.2300000000000004</v>
      </c>
      <c r="K92" s="35">
        <v>1.92</v>
      </c>
      <c r="L92" s="7">
        <v>21.15</v>
      </c>
      <c r="M92">
        <f t="shared" si="2"/>
        <v>21.15</v>
      </c>
      <c r="N92" t="str">
        <f>+VLOOKUP(D92,'DISPOSITIVOS ACTIVOS'!B:D,3,FALSE)</f>
        <v>Iphone</v>
      </c>
      <c r="O92" t="str">
        <f>+VLOOKUP(D92,'DISPOSITIVOS ACTIVOS'!B:G,6,FALSE)</f>
        <v>CARDOZO, ALBERT YVAN</v>
      </c>
      <c r="P92" t="str">
        <f>+VLOOKUP(D92,'DISPOSITIVOS ACTIVOS'!$B$1:$H$299,7,FALSE)</f>
        <v>SALES RITEFILL DSD CENTRAL</v>
      </c>
      <c r="Q92" t="str">
        <f>IFERROR(+VLOOKUP(D92,'[1]Migracion feb25 Ver to ATT'!$B:$B,1,FALSE), "NO")</f>
        <v>615-939-8241</v>
      </c>
      <c r="R92" s="26">
        <f t="shared" si="3"/>
        <v>15</v>
      </c>
    </row>
    <row r="93" spans="1:18" x14ac:dyDescent="0.3">
      <c r="A93" t="s">
        <v>22</v>
      </c>
      <c r="B93">
        <v>25</v>
      </c>
      <c r="C93">
        <v>3</v>
      </c>
      <c r="D93" s="7" t="s">
        <v>200</v>
      </c>
      <c r="E93" s="7" t="s">
        <v>201</v>
      </c>
      <c r="F93" s="7">
        <v>195</v>
      </c>
      <c r="G93" s="35">
        <v>-7.45</v>
      </c>
      <c r="H93" s="35">
        <v>50</v>
      </c>
      <c r="I93" s="7" t="s">
        <v>30</v>
      </c>
      <c r="J93" s="35">
        <v>4.87</v>
      </c>
      <c r="K93" s="35">
        <v>2.57</v>
      </c>
      <c r="L93" s="7">
        <v>49.99</v>
      </c>
      <c r="M93" s="41">
        <f t="shared" si="2"/>
        <v>49.99</v>
      </c>
      <c r="N93" t="str">
        <f>+VLOOKUP(D93,'DISPOSITIVOS ACTIVOS'!B:D,3,FALSE)</f>
        <v>Galaxy</v>
      </c>
      <c r="O93" t="str">
        <f>+VLOOKUP(D93,'DISPOSITIVOS ACTIVOS'!B:G,6,FALSE)</f>
        <v>CASTILLO DUARTE, JOSE EDUARDO</v>
      </c>
      <c r="P93" t="str">
        <f>+VLOOKUP(D93,'DISPOSITIVOS ACTIVOS'!$B$1:$H$299,7,FALSE)</f>
        <v>Finance</v>
      </c>
      <c r="Q93" t="str">
        <f>IFERROR(+VLOOKUP(D93,'[1]Migracion feb25 Ver to ATT'!$B:$B,1,FALSE), "NO")</f>
        <v>NO</v>
      </c>
      <c r="R93" s="26">
        <f t="shared" si="3"/>
        <v>25</v>
      </c>
    </row>
    <row r="94" spans="1:18" x14ac:dyDescent="0.3">
      <c r="A94" t="s">
        <v>22</v>
      </c>
      <c r="B94">
        <v>25</v>
      </c>
      <c r="C94">
        <v>3</v>
      </c>
      <c r="D94" s="7" t="s">
        <v>202</v>
      </c>
      <c r="E94" s="7" t="s">
        <v>203</v>
      </c>
      <c r="F94" s="7">
        <v>197</v>
      </c>
      <c r="G94" s="35">
        <v>-35</v>
      </c>
      <c r="H94" s="35">
        <v>50</v>
      </c>
      <c r="I94" s="7" t="s">
        <v>30</v>
      </c>
      <c r="J94" s="35">
        <v>4.2300000000000004</v>
      </c>
      <c r="K94" s="35">
        <v>1.92</v>
      </c>
      <c r="L94" s="7">
        <v>21.15</v>
      </c>
      <c r="M94">
        <f t="shared" si="2"/>
        <v>21.15</v>
      </c>
      <c r="N94" t="str">
        <f>+VLOOKUP(D94,'DISPOSITIVOS ACTIVOS'!B:D,3,FALSE)</f>
        <v>Iphone</v>
      </c>
      <c r="O94" t="str">
        <f>+VLOOKUP(D94,'DISPOSITIVOS ACTIVOS'!B:G,6,FALSE)</f>
        <v>SILVA, ELISA</v>
      </c>
      <c r="P94" t="str">
        <f>+VLOOKUP(D94,'DISPOSITIVOS ACTIVOS'!$B$1:$H$299,7,FALSE)</f>
        <v>SALES WEST</v>
      </c>
      <c r="Q94" t="str">
        <f>IFERROR(+VLOOKUP(D94,'[1]Migracion feb25 Ver to ATT'!$B:$B,1,FALSE), "NO")</f>
        <v>615-961-5944</v>
      </c>
      <c r="R94" s="26">
        <f t="shared" si="3"/>
        <v>15</v>
      </c>
    </row>
    <row r="95" spans="1:18" x14ac:dyDescent="0.3">
      <c r="A95" t="s">
        <v>22</v>
      </c>
      <c r="B95">
        <v>25</v>
      </c>
      <c r="C95">
        <v>3</v>
      </c>
      <c r="D95" s="7" t="s">
        <v>204</v>
      </c>
      <c r="E95" s="7" t="s">
        <v>205</v>
      </c>
      <c r="F95" s="7">
        <v>199</v>
      </c>
      <c r="G95" s="7" t="s">
        <v>30</v>
      </c>
      <c r="H95" s="35">
        <v>50</v>
      </c>
      <c r="I95" s="7" t="s">
        <v>30</v>
      </c>
      <c r="J95" s="35">
        <v>4.87</v>
      </c>
      <c r="K95" s="35">
        <v>2.57</v>
      </c>
      <c r="L95" s="7">
        <v>57.44</v>
      </c>
      <c r="M95" s="41">
        <f t="shared" si="2"/>
        <v>57.44</v>
      </c>
      <c r="N95" t="str">
        <f>+VLOOKUP(D95,'DISPOSITIVOS ACTIVOS'!B:D,3,FALSE)</f>
        <v>Iphone</v>
      </c>
      <c r="O95" t="str">
        <f>+VLOOKUP(D95,'DISPOSITIVOS ACTIVOS'!B:G,6,FALSE)</f>
        <v>SOLIS SAN ANDRES, KARLA G</v>
      </c>
      <c r="P95" t="str">
        <f>+VLOOKUP(D95,'DISPOSITIVOS ACTIVOS'!$B$1:$H$299,7,FALSE)</f>
        <v>SALES WEST</v>
      </c>
      <c r="Q95" t="str">
        <f>IFERROR(+VLOOKUP(D95,'[1]Migracion feb25 Ver to ATT'!$B:$B,1,FALSE), "NO")</f>
        <v>NO</v>
      </c>
      <c r="R95" s="26">
        <f t="shared" si="3"/>
        <v>25</v>
      </c>
    </row>
    <row r="96" spans="1:18" x14ac:dyDescent="0.3">
      <c r="A96" t="s">
        <v>22</v>
      </c>
      <c r="B96">
        <v>25</v>
      </c>
      <c r="C96">
        <v>3</v>
      </c>
      <c r="D96" s="7" t="s">
        <v>206</v>
      </c>
      <c r="E96" s="7" t="s">
        <v>207</v>
      </c>
      <c r="F96" s="7">
        <v>201</v>
      </c>
      <c r="G96" s="7" t="s">
        <v>30</v>
      </c>
      <c r="H96" s="35">
        <v>50</v>
      </c>
      <c r="I96" s="7" t="s">
        <v>30</v>
      </c>
      <c r="J96" s="35">
        <v>4.87</v>
      </c>
      <c r="K96" s="35">
        <v>2.57</v>
      </c>
      <c r="L96" s="7">
        <v>57.44</v>
      </c>
      <c r="M96" s="41">
        <f t="shared" si="2"/>
        <v>57.44</v>
      </c>
      <c r="N96" t="str">
        <f>+VLOOKUP(D96,'DISPOSITIVOS ACTIVOS'!B:D,3,FALSE)</f>
        <v>Iphone</v>
      </c>
      <c r="O96" t="str">
        <f>+VLOOKUP(D96,'DISPOSITIVOS ACTIVOS'!B:G,6,FALSE)</f>
        <v>LONGA, CARMEN B</v>
      </c>
      <c r="P96" t="str">
        <f>+VLOOKUP(D96,'DISPOSITIVOS ACTIVOS'!$B$1:$H$299,7,FALSE)</f>
        <v>LOGISTICS WEST</v>
      </c>
      <c r="Q96" t="str">
        <f>IFERROR(+VLOOKUP(D96,'[1]Migracion feb25 Ver to ATT'!$B:$B,1,FALSE), "NO")</f>
        <v>NO</v>
      </c>
      <c r="R96" s="26">
        <f t="shared" si="3"/>
        <v>25</v>
      </c>
    </row>
    <row r="97" spans="1:18" x14ac:dyDescent="0.3">
      <c r="A97" t="s">
        <v>22</v>
      </c>
      <c r="B97">
        <v>25</v>
      </c>
      <c r="C97">
        <v>3</v>
      </c>
      <c r="D97" s="7" t="s">
        <v>208</v>
      </c>
      <c r="E97" s="7" t="s">
        <v>209</v>
      </c>
      <c r="F97" s="7">
        <v>203</v>
      </c>
      <c r="G97" s="35">
        <v>-35</v>
      </c>
      <c r="H97" s="35">
        <v>50</v>
      </c>
      <c r="I97" s="7" t="s">
        <v>30</v>
      </c>
      <c r="J97" s="35">
        <v>4.2300000000000004</v>
      </c>
      <c r="K97" s="35">
        <v>1.92</v>
      </c>
      <c r="L97" s="7">
        <v>21.15</v>
      </c>
      <c r="M97">
        <f t="shared" si="2"/>
        <v>21.15</v>
      </c>
      <c r="N97" t="str">
        <f>+VLOOKUP(D97,'DISPOSITIVOS ACTIVOS'!B:D,3,FALSE)</f>
        <v>Iphone</v>
      </c>
      <c r="O97" t="str">
        <f>+VLOOKUP(D97,'DISPOSITIVOS ACTIVOS'!B:G,6,FALSE)</f>
        <v>LUCIO FLORES, JOSE ANGEL</v>
      </c>
      <c r="P97" t="str">
        <f>+VLOOKUP(D97,'DISPOSITIVOS ACTIVOS'!$B$1:$H$299,7,FALSE)</f>
        <v>SALES NORTH</v>
      </c>
      <c r="Q97" t="str">
        <f>IFERROR(+VLOOKUP(D97,'[1]Migracion feb25 Ver to ATT'!$B:$B,1,FALSE), "NO")</f>
        <v>629-239-0999</v>
      </c>
      <c r="R97" s="26">
        <f t="shared" si="3"/>
        <v>15</v>
      </c>
    </row>
    <row r="98" spans="1:18" x14ac:dyDescent="0.3">
      <c r="A98" t="s">
        <v>22</v>
      </c>
      <c r="B98">
        <v>25</v>
      </c>
      <c r="C98">
        <v>3</v>
      </c>
      <c r="D98" s="7" t="s">
        <v>210</v>
      </c>
      <c r="E98" s="7" t="s">
        <v>211</v>
      </c>
      <c r="F98" s="7">
        <v>205</v>
      </c>
      <c r="G98" s="7" t="s">
        <v>30</v>
      </c>
      <c r="H98" s="35">
        <v>30</v>
      </c>
      <c r="I98" s="7" t="s">
        <v>30</v>
      </c>
      <c r="J98" s="35">
        <v>3.75</v>
      </c>
      <c r="K98" s="7" t="s">
        <v>30</v>
      </c>
      <c r="L98" s="7">
        <v>33.75</v>
      </c>
      <c r="M98" s="41">
        <f t="shared" si="2"/>
        <v>33.75</v>
      </c>
      <c r="N98" t="str">
        <f>+VLOOKUP(D98,'DISPOSITIVOS ACTIVOS'!B:D,3,FALSE)</f>
        <v>Ipad</v>
      </c>
      <c r="O98" t="str">
        <f>+VLOOKUP(D98,'DISPOSITIVOS ACTIVOS'!B:G,6,FALSE)</f>
        <v>GUTIERREZ TOVAR, YNGEL J</v>
      </c>
      <c r="P98" t="str">
        <f>+VLOOKUP(D98,'DISPOSITIVOS ACTIVOS'!$B$1:$H$299,7,FALSE)</f>
        <v>SALES CENTRAL</v>
      </c>
      <c r="Q98" t="str">
        <f>IFERROR(+VLOOKUP(D98,'[1]Migracion feb25 Ver to ATT'!$B:$B,1,FALSE), "NO")</f>
        <v>NO</v>
      </c>
      <c r="R98" s="26">
        <f t="shared" si="3"/>
        <v>25</v>
      </c>
    </row>
    <row r="99" spans="1:18" x14ac:dyDescent="0.3">
      <c r="A99" t="s">
        <v>22</v>
      </c>
      <c r="B99">
        <v>25</v>
      </c>
      <c r="C99">
        <v>3</v>
      </c>
      <c r="D99" s="7" t="s">
        <v>212</v>
      </c>
      <c r="E99" s="7" t="s">
        <v>211</v>
      </c>
      <c r="F99" s="7">
        <v>207</v>
      </c>
      <c r="G99" s="35">
        <v>-35</v>
      </c>
      <c r="H99" s="35">
        <v>50</v>
      </c>
      <c r="I99" s="7" t="s">
        <v>30</v>
      </c>
      <c r="J99" s="35">
        <v>4.2300000000000004</v>
      </c>
      <c r="K99" s="35">
        <v>1.92</v>
      </c>
      <c r="L99" s="7">
        <v>21.15</v>
      </c>
      <c r="M99">
        <f t="shared" si="2"/>
        <v>21.15</v>
      </c>
      <c r="N99" t="str">
        <f>+VLOOKUP(D99,'DISPOSITIVOS ACTIVOS'!B:D,3,FALSE)</f>
        <v>Iphone</v>
      </c>
      <c r="O99" t="str">
        <f>+VLOOKUP(D99,'DISPOSITIVOS ACTIVOS'!B:G,6,FALSE)</f>
        <v>GUTIERREZ TOVAR, YNGEL J</v>
      </c>
      <c r="P99" t="str">
        <f>+VLOOKUP(D99,'DISPOSITIVOS ACTIVOS'!$B$1:$H$299,7,FALSE)</f>
        <v>SALES CENTRAL</v>
      </c>
      <c r="Q99" t="str">
        <f>IFERROR(+VLOOKUP(D99,'[1]Migracion feb25 Ver to ATT'!$B:$B,1,FALSE), "NO")</f>
        <v>629-256-9168</v>
      </c>
      <c r="R99" s="26">
        <f t="shared" si="3"/>
        <v>15</v>
      </c>
    </row>
    <row r="100" spans="1:18" x14ac:dyDescent="0.3">
      <c r="A100" t="s">
        <v>22</v>
      </c>
      <c r="B100">
        <v>25</v>
      </c>
      <c r="C100">
        <v>3</v>
      </c>
      <c r="D100" s="7" t="s">
        <v>213</v>
      </c>
      <c r="E100" s="7" t="s">
        <v>214</v>
      </c>
      <c r="F100" s="7">
        <v>209</v>
      </c>
      <c r="G100" s="35">
        <v>-6.75</v>
      </c>
      <c r="H100" s="35">
        <v>50</v>
      </c>
      <c r="I100" s="7" t="s">
        <v>30</v>
      </c>
      <c r="J100" s="35">
        <v>4.87</v>
      </c>
      <c r="K100" s="35">
        <v>2.57</v>
      </c>
      <c r="L100" s="7">
        <v>50.69</v>
      </c>
      <c r="M100" s="41">
        <f t="shared" si="2"/>
        <v>50.69</v>
      </c>
      <c r="N100" t="str">
        <f>+VLOOKUP(D100,'DISPOSITIVOS ACTIVOS'!B:D,3,FALSE)</f>
        <v>Iphone</v>
      </c>
      <c r="O100" t="str">
        <f>+VLOOKUP(D100,'DISPOSITIVOS ACTIVOS'!B:G,6,FALSE)</f>
        <v>BRITO SALAZAR, RICARDO JOSE</v>
      </c>
      <c r="P100" t="str">
        <f>+VLOOKUP(D100,'DISPOSITIVOS ACTIVOS'!$B$1:$H$299,7,FALSE)</f>
        <v>HR</v>
      </c>
      <c r="Q100" t="str">
        <f>IFERROR(+VLOOKUP(D100,'[1]Migracion feb25 Ver to ATT'!$B:$B,1,FALSE), "NO")</f>
        <v>NO</v>
      </c>
      <c r="R100" s="26">
        <f t="shared" si="3"/>
        <v>25</v>
      </c>
    </row>
    <row r="101" spans="1:18" x14ac:dyDescent="0.3">
      <c r="A101" t="s">
        <v>22</v>
      </c>
      <c r="B101">
        <v>25</v>
      </c>
      <c r="C101">
        <v>3</v>
      </c>
      <c r="D101" s="7" t="s">
        <v>215</v>
      </c>
      <c r="E101" s="7" t="s">
        <v>216</v>
      </c>
      <c r="F101" s="7">
        <v>211</v>
      </c>
      <c r="G101" s="7" t="s">
        <v>30</v>
      </c>
      <c r="H101" s="35">
        <v>50</v>
      </c>
      <c r="I101" s="35">
        <v>20</v>
      </c>
      <c r="J101" s="35">
        <v>4.87</v>
      </c>
      <c r="K101" s="35">
        <v>2.57</v>
      </c>
      <c r="L101" s="7">
        <v>77.44</v>
      </c>
      <c r="M101" s="41">
        <f t="shared" si="2"/>
        <v>77.44</v>
      </c>
      <c r="N101" t="str">
        <f>+VLOOKUP(D101,'DISPOSITIVOS ACTIVOS'!B:D,3,FALSE)</f>
        <v>Iphone</v>
      </c>
      <c r="O101" t="str">
        <f>+VLOOKUP(D101,'DISPOSITIVOS ACTIVOS'!B:G,6,FALSE)</f>
        <v>LODYGENSKY, ISABELE</v>
      </c>
      <c r="P101" t="str">
        <f>+VLOOKUP(D101,'DISPOSITIVOS ACTIVOS'!$B$1:$H$299,7,FALSE)</f>
        <v>Corpotative ESG 110002</v>
      </c>
      <c r="Q101" t="str">
        <f>IFERROR(+VLOOKUP(D101,'[1]Migracion feb25 Ver to ATT'!$B:$B,1,FALSE), "NO")</f>
        <v>NO</v>
      </c>
      <c r="R101" s="26">
        <f t="shared" si="3"/>
        <v>25</v>
      </c>
    </row>
    <row r="102" spans="1:18" x14ac:dyDescent="0.3">
      <c r="A102" t="s">
        <v>22</v>
      </c>
      <c r="B102">
        <v>25</v>
      </c>
      <c r="C102">
        <v>3</v>
      </c>
      <c r="D102" s="7" t="s">
        <v>217</v>
      </c>
      <c r="E102" s="7" t="s">
        <v>218</v>
      </c>
      <c r="F102" s="7">
        <v>213</v>
      </c>
      <c r="G102" s="7" t="s">
        <v>30</v>
      </c>
      <c r="H102" s="35">
        <v>15</v>
      </c>
      <c r="I102" s="7" t="s">
        <v>30</v>
      </c>
      <c r="J102" s="35">
        <v>3.75</v>
      </c>
      <c r="K102" s="7" t="s">
        <v>30</v>
      </c>
      <c r="L102" s="7">
        <v>18.75</v>
      </c>
      <c r="M102">
        <f t="shared" si="2"/>
        <v>18.75</v>
      </c>
      <c r="N102" t="s">
        <v>37</v>
      </c>
      <c r="O102" t="s">
        <v>37</v>
      </c>
      <c r="P102" t="e">
        <f>+VLOOKUP(D102,'DISPOSITIVOS ACTIVOS'!$B$1:$H$299,7,FALSE)</f>
        <v>#N/A</v>
      </c>
      <c r="Q102" t="str">
        <f>IFERROR(+VLOOKUP(D102,'[1]Migracion feb25 Ver to ATT'!$B:$B,1,FALSE), "NO")</f>
        <v>NO</v>
      </c>
      <c r="R102" s="26">
        <f t="shared" si="3"/>
        <v>25</v>
      </c>
    </row>
    <row r="103" spans="1:18" x14ac:dyDescent="0.3">
      <c r="A103" t="s">
        <v>22</v>
      </c>
      <c r="B103">
        <v>25</v>
      </c>
      <c r="C103">
        <v>3</v>
      </c>
      <c r="D103" s="7" t="s">
        <v>219</v>
      </c>
      <c r="E103" s="7" t="s">
        <v>220</v>
      </c>
      <c r="F103" s="7">
        <v>215</v>
      </c>
      <c r="G103" s="7" t="s">
        <v>30</v>
      </c>
      <c r="H103" s="35">
        <v>50</v>
      </c>
      <c r="I103" s="35">
        <v>5.99</v>
      </c>
      <c r="J103" s="35">
        <v>4.87</v>
      </c>
      <c r="K103" s="35">
        <v>2.57</v>
      </c>
      <c r="L103" s="7">
        <v>63.43</v>
      </c>
      <c r="M103" s="41">
        <f t="shared" si="2"/>
        <v>63.43</v>
      </c>
      <c r="N103" t="s">
        <v>37</v>
      </c>
      <c r="O103" t="s">
        <v>37</v>
      </c>
      <c r="P103" t="e">
        <f>+VLOOKUP(D103,'DISPOSITIVOS ACTIVOS'!$B$1:$H$299,7,FALSE)</f>
        <v>#N/A</v>
      </c>
      <c r="Q103" t="str">
        <f>IFERROR(+VLOOKUP(D103,'[1]Migracion feb25 Ver to ATT'!$B:$B,1,FALSE), "NO")</f>
        <v>NO</v>
      </c>
      <c r="R103" s="26">
        <f t="shared" si="3"/>
        <v>25</v>
      </c>
    </row>
    <row r="104" spans="1:18" x14ac:dyDescent="0.3">
      <c r="A104" t="s">
        <v>22</v>
      </c>
      <c r="B104">
        <v>25</v>
      </c>
      <c r="C104">
        <v>3</v>
      </c>
      <c r="D104" s="7" t="s">
        <v>221</v>
      </c>
      <c r="E104" s="7" t="s">
        <v>222</v>
      </c>
      <c r="F104" s="7">
        <v>217</v>
      </c>
      <c r="G104" s="35">
        <v>-7.45</v>
      </c>
      <c r="H104" s="35">
        <v>50</v>
      </c>
      <c r="I104" s="7" t="s">
        <v>30</v>
      </c>
      <c r="J104" s="35">
        <v>4.87</v>
      </c>
      <c r="K104" s="35">
        <v>2.57</v>
      </c>
      <c r="L104" s="7">
        <v>49.99</v>
      </c>
      <c r="M104" s="41">
        <f t="shared" si="2"/>
        <v>49.99</v>
      </c>
      <c r="N104">
        <f>+VLOOKUP(D104,'DISPOSITIVOS ACTIVOS'!B:D,3,FALSE)</f>
        <v>0</v>
      </c>
      <c r="O104" t="str">
        <f>+VLOOKUP(D104,'DISPOSITIVOS ACTIVOS'!B:G,6,FALSE)</f>
        <v>VIVAS, REYNA E</v>
      </c>
      <c r="P104" t="str">
        <f>+VLOOKUP(D104,'DISPOSITIVOS ACTIVOS'!$B$1:$H$299,7,FALSE)</f>
        <v>SALES RITEFILL DSD WEST</v>
      </c>
      <c r="Q104" t="str">
        <f>IFERROR(+VLOOKUP(D104,'[1]Migracion feb25 Ver to ATT'!$B:$B,1,FALSE), "NO")</f>
        <v>NO</v>
      </c>
      <c r="R104" s="26">
        <f t="shared" si="3"/>
        <v>25</v>
      </c>
    </row>
    <row r="105" spans="1:18" x14ac:dyDescent="0.3">
      <c r="A105" t="s">
        <v>22</v>
      </c>
      <c r="B105">
        <v>25</v>
      </c>
      <c r="C105">
        <v>3</v>
      </c>
      <c r="D105" s="7" t="s">
        <v>223</v>
      </c>
      <c r="E105" s="7" t="s">
        <v>224</v>
      </c>
      <c r="F105" s="7">
        <v>219</v>
      </c>
      <c r="G105" s="7" t="s">
        <v>30</v>
      </c>
      <c r="H105" s="35">
        <v>50</v>
      </c>
      <c r="I105" s="7" t="s">
        <v>30</v>
      </c>
      <c r="J105" s="35">
        <v>4.87</v>
      </c>
      <c r="K105" s="35">
        <v>2.39</v>
      </c>
      <c r="L105" s="7">
        <v>57.26</v>
      </c>
      <c r="M105" s="41">
        <f t="shared" si="2"/>
        <v>57.26</v>
      </c>
      <c r="N105" t="str">
        <f>+VLOOKUP(D105,'DISPOSITIVOS ACTIVOS'!B:D,3,FALSE)</f>
        <v>no aplica</v>
      </c>
      <c r="O105" t="str">
        <f>+VLOOKUP(D105,'DISPOSITIVOS ACTIVOS'!B:G,6,FALSE)</f>
        <v>GABRIEL ABOUK...</v>
      </c>
      <c r="P105" t="str">
        <f>+VLOOKUP(D105,'DISPOSITIVOS ACTIVOS'!$B$1:$H$299,7,FALSE)</f>
        <v>ATLANTA</v>
      </c>
      <c r="Q105" t="str">
        <f>IFERROR(+VLOOKUP(D105,'[1]Migracion feb25 Ver to ATT'!$B:$B,1,FALSE), "NO")</f>
        <v>NO</v>
      </c>
      <c r="R105" s="26">
        <f t="shared" si="3"/>
        <v>25</v>
      </c>
    </row>
    <row r="106" spans="1:18" x14ac:dyDescent="0.3">
      <c r="A106" t="s">
        <v>22</v>
      </c>
      <c r="B106">
        <v>25</v>
      </c>
      <c r="C106">
        <v>3</v>
      </c>
      <c r="D106" s="7" t="s">
        <v>225</v>
      </c>
      <c r="E106" s="7" t="s">
        <v>226</v>
      </c>
      <c r="F106" s="7">
        <v>221</v>
      </c>
      <c r="G106" s="7" t="s">
        <v>30</v>
      </c>
      <c r="H106" s="35">
        <v>50</v>
      </c>
      <c r="I106" s="7" t="s">
        <v>30</v>
      </c>
      <c r="J106" s="35">
        <v>4.87</v>
      </c>
      <c r="K106" s="35">
        <v>2.39</v>
      </c>
      <c r="L106" s="7">
        <v>57.26</v>
      </c>
      <c r="M106" s="41">
        <f t="shared" si="2"/>
        <v>57.26</v>
      </c>
      <c r="N106" t="str">
        <f>+VLOOKUP(D106,'DISPOSITIVOS ACTIVOS'!B:D,3,FALSE)</f>
        <v>no aplica</v>
      </c>
      <c r="O106" t="str">
        <f>+VLOOKUP(D106,'DISPOSITIVOS ACTIVOS'!B:G,6,FALSE)</f>
        <v>GUSTAVO MORILLO</v>
      </c>
      <c r="P106" t="str">
        <f>+VLOOKUP(D106,'DISPOSITIVOS ACTIVOS'!$B$1:$H$299,7,FALSE)</f>
        <v>ATLANTA</v>
      </c>
      <c r="Q106" t="str">
        <f>IFERROR(+VLOOKUP(D106,'[1]Migracion feb25 Ver to ATT'!$B:$B,1,FALSE), "NO")</f>
        <v>NO</v>
      </c>
      <c r="R106" s="26">
        <f t="shared" si="3"/>
        <v>25</v>
      </c>
    </row>
    <row r="107" spans="1:18" x14ac:dyDescent="0.3">
      <c r="A107" t="s">
        <v>22</v>
      </c>
      <c r="B107">
        <v>25</v>
      </c>
      <c r="C107">
        <v>3</v>
      </c>
      <c r="D107" s="7" t="s">
        <v>227</v>
      </c>
      <c r="E107" s="7" t="s">
        <v>228</v>
      </c>
      <c r="F107" s="7">
        <v>223</v>
      </c>
      <c r="G107" s="7" t="s">
        <v>30</v>
      </c>
      <c r="H107" s="35">
        <v>50</v>
      </c>
      <c r="I107" s="7" t="s">
        <v>30</v>
      </c>
      <c r="J107" s="35">
        <v>4.87</v>
      </c>
      <c r="K107" s="35">
        <v>2.39</v>
      </c>
      <c r="L107" s="7">
        <v>57.26</v>
      </c>
      <c r="M107" s="41">
        <f t="shared" si="2"/>
        <v>57.26</v>
      </c>
      <c r="N107" t="str">
        <f>+VLOOKUP(D107,'DISPOSITIVOS ACTIVOS'!B:D,3,FALSE)</f>
        <v>no aplica</v>
      </c>
      <c r="O107" t="str">
        <f>+VLOOKUP(D107,'DISPOSITIVOS ACTIVOS'!B:G,6,FALSE)</f>
        <v>ROSALINA SOCORRO</v>
      </c>
      <c r="P107" t="str">
        <f>+VLOOKUP(D107,'DISPOSITIVOS ACTIVOS'!$B$1:$H$299,7,FALSE)</f>
        <v>ATLANTA</v>
      </c>
      <c r="Q107" t="str">
        <f>IFERROR(+VLOOKUP(D107,'[1]Migracion feb25 Ver to ATT'!$B:$B,1,FALSE), "NO")</f>
        <v>NO</v>
      </c>
      <c r="R107" s="26">
        <f t="shared" si="3"/>
        <v>25</v>
      </c>
    </row>
    <row r="108" spans="1:18" x14ac:dyDescent="0.3">
      <c r="A108" t="s">
        <v>22</v>
      </c>
      <c r="B108">
        <v>25</v>
      </c>
      <c r="C108">
        <v>3</v>
      </c>
      <c r="D108" s="7" t="s">
        <v>229</v>
      </c>
      <c r="E108" s="7" t="s">
        <v>230</v>
      </c>
      <c r="F108" s="7">
        <v>225</v>
      </c>
      <c r="G108" s="7" t="s">
        <v>30</v>
      </c>
      <c r="H108" s="35">
        <v>50</v>
      </c>
      <c r="I108" s="7" t="s">
        <v>30</v>
      </c>
      <c r="J108" s="35">
        <v>4.87</v>
      </c>
      <c r="K108" s="35">
        <v>2.39</v>
      </c>
      <c r="L108" s="7">
        <v>57.26</v>
      </c>
      <c r="M108" s="41">
        <f t="shared" si="2"/>
        <v>57.26</v>
      </c>
      <c r="N108" t="str">
        <f>+VLOOKUP(D108,'DISPOSITIVOS ACTIVOS'!B:D,3,FALSE)</f>
        <v>no aplica</v>
      </c>
      <c r="O108" t="str">
        <f>+VLOOKUP(D108,'DISPOSITIVOS ACTIVOS'!B:G,6,FALSE)</f>
        <v>ABIGAIL QUINTERO</v>
      </c>
      <c r="P108" t="str">
        <f>+VLOOKUP(D108,'DISPOSITIVOS ACTIVOS'!$B$1:$H$299,7,FALSE)</f>
        <v>ATLANTA</v>
      </c>
      <c r="Q108" t="str">
        <f>IFERROR(+VLOOKUP(D108,'[1]Migracion feb25 Ver to ATT'!$B:$B,1,FALSE), "NO")</f>
        <v>NO</v>
      </c>
      <c r="R108" s="26">
        <f t="shared" si="3"/>
        <v>25</v>
      </c>
    </row>
    <row r="109" spans="1:18" x14ac:dyDescent="0.3">
      <c r="A109" t="s">
        <v>22</v>
      </c>
      <c r="B109">
        <v>25</v>
      </c>
      <c r="C109">
        <v>3</v>
      </c>
      <c r="D109" s="7" t="s">
        <v>231</v>
      </c>
      <c r="E109" s="7" t="s">
        <v>232</v>
      </c>
      <c r="F109" s="7">
        <v>227</v>
      </c>
      <c r="G109" s="35">
        <v>-35</v>
      </c>
      <c r="H109" s="35">
        <v>50</v>
      </c>
      <c r="I109" s="7" t="s">
        <v>30</v>
      </c>
      <c r="J109" s="35">
        <v>4.2300000000000004</v>
      </c>
      <c r="K109" s="35">
        <v>1.92</v>
      </c>
      <c r="L109" s="7">
        <v>21.15</v>
      </c>
      <c r="M109">
        <f t="shared" si="2"/>
        <v>21.15</v>
      </c>
      <c r="N109" s="4" t="s">
        <v>191</v>
      </c>
      <c r="O109" t="str">
        <f>+VLOOKUP(D109,'DISPOSITIVOS ACTIVOS'!B:G,6,FALSE)</f>
        <v>ESMERALDA WILSON</v>
      </c>
      <c r="P109" t="str">
        <f>+VLOOKUP(D109,'DISPOSITIVOS ACTIVOS'!$B$1:$H$299,7,FALSE)</f>
        <v>SALES CENTRAL</v>
      </c>
      <c r="Q109" t="str">
        <f>IFERROR(+VLOOKUP(D109,'[1]Migracion feb25 Ver to ATT'!$B:$B,1,FALSE), "NO")</f>
        <v>859-321-3539</v>
      </c>
      <c r="R109" s="26">
        <f t="shared" si="3"/>
        <v>15</v>
      </c>
    </row>
    <row r="110" spans="1:18" x14ac:dyDescent="0.3">
      <c r="A110" t="s">
        <v>22</v>
      </c>
      <c r="B110">
        <v>25</v>
      </c>
      <c r="C110">
        <v>3</v>
      </c>
      <c r="D110" s="7" t="s">
        <v>233</v>
      </c>
      <c r="E110" s="7" t="s">
        <v>234</v>
      </c>
      <c r="F110" s="7">
        <v>229</v>
      </c>
      <c r="G110" s="7" t="s">
        <v>30</v>
      </c>
      <c r="H110" s="35">
        <v>50</v>
      </c>
      <c r="I110" s="35">
        <v>5</v>
      </c>
      <c r="J110" s="35">
        <v>4.87</v>
      </c>
      <c r="K110" s="35">
        <v>2.57</v>
      </c>
      <c r="L110" s="7">
        <v>62.44</v>
      </c>
      <c r="M110" s="41">
        <f t="shared" si="2"/>
        <v>62.44</v>
      </c>
      <c r="N110" t="str">
        <f>+VLOOKUP(D110,'DISPOSITIVOS ACTIVOS'!B:D,3,FALSE)</f>
        <v>Iphone</v>
      </c>
      <c r="O110" t="str">
        <f>+VLOOKUP(D110,'DISPOSITIVOS ACTIVOS'!B:G,6,FALSE)</f>
        <v>ROJAS, FABIOLA V</v>
      </c>
      <c r="P110" t="str">
        <f>+VLOOKUP(D110,'DISPOSITIVOS ACTIVOS'!$B$1:$H$299,7,FALSE)</f>
        <v>MERCHANDISER CENTRAL</v>
      </c>
      <c r="Q110" t="str">
        <f>IFERROR(+VLOOKUP(D110,'[1]Migracion feb25 Ver to ATT'!$B:$B,1,FALSE), "NO")</f>
        <v>NO</v>
      </c>
      <c r="R110" s="26">
        <f t="shared" si="3"/>
        <v>25</v>
      </c>
    </row>
    <row r="111" spans="1:18" x14ac:dyDescent="0.3">
      <c r="A111" t="s">
        <v>22</v>
      </c>
      <c r="B111">
        <v>25</v>
      </c>
      <c r="C111">
        <v>3</v>
      </c>
      <c r="D111" s="7" t="s">
        <v>235</v>
      </c>
      <c r="E111" s="7" t="s">
        <v>236</v>
      </c>
      <c r="F111" s="7">
        <v>231</v>
      </c>
      <c r="G111" s="35">
        <v>-35</v>
      </c>
      <c r="H111" s="35">
        <v>50</v>
      </c>
      <c r="I111" s="7" t="s">
        <v>30</v>
      </c>
      <c r="J111" s="35">
        <v>4.2300000000000004</v>
      </c>
      <c r="K111" s="35">
        <v>1.92</v>
      </c>
      <c r="L111" s="7">
        <v>21.15</v>
      </c>
      <c r="M111">
        <f t="shared" si="2"/>
        <v>21.15</v>
      </c>
      <c r="N111" t="str">
        <f>+VLOOKUP(D111,'DISPOSITIVOS ACTIVOS'!B:D,3,FALSE)</f>
        <v>Iphone</v>
      </c>
      <c r="O111" t="str">
        <f>+VLOOKUP(D111,'DISPOSITIVOS ACTIVOS'!B:G,6,FALSE)</f>
        <v>VELIZ, CARLOS A</v>
      </c>
      <c r="P111" t="str">
        <f>+VLOOKUP(D111,'DISPOSITIVOS ACTIVOS'!$B$1:$H$299,7,FALSE)</f>
        <v>SALES CENTRAL</v>
      </c>
      <c r="Q111" t="str">
        <f>IFERROR(+VLOOKUP(D111,'[1]Migracion feb25 Ver to ATT'!$B:$B,1,FALSE), "NO")</f>
        <v>865-396-3526</v>
      </c>
      <c r="R111" s="26">
        <f t="shared" si="3"/>
        <v>15</v>
      </c>
    </row>
    <row r="112" spans="1:18" x14ac:dyDescent="0.3">
      <c r="A112" t="s">
        <v>22</v>
      </c>
      <c r="B112">
        <v>25</v>
      </c>
      <c r="C112">
        <v>3</v>
      </c>
      <c r="D112" s="7" t="s">
        <v>237</v>
      </c>
      <c r="E112" s="7" t="s">
        <v>238</v>
      </c>
      <c r="F112" s="7">
        <v>233</v>
      </c>
      <c r="G112" s="7" t="s">
        <v>30</v>
      </c>
      <c r="H112" s="35">
        <v>30</v>
      </c>
      <c r="I112" s="7" t="s">
        <v>30</v>
      </c>
      <c r="J112" s="35">
        <v>3.75</v>
      </c>
      <c r="K112" s="7" t="s">
        <v>30</v>
      </c>
      <c r="L112" s="7">
        <v>33.75</v>
      </c>
      <c r="M112" s="41">
        <f t="shared" si="2"/>
        <v>33.75</v>
      </c>
      <c r="N112" t="str">
        <f>+VLOOKUP(D112,'DISPOSITIVOS ACTIVOS'!B:D,3,FALSE)</f>
        <v>Ipad</v>
      </c>
      <c r="O112" t="str">
        <f>+VLOOKUP(D112,'DISPOSITIVOS ACTIVOS'!B:G,6,FALSE)</f>
        <v>VELIZ, CARLOS A</v>
      </c>
      <c r="P112" t="str">
        <f>+VLOOKUP(D112,'DISPOSITIVOS ACTIVOS'!$B$1:$H$299,7,FALSE)</f>
        <v>SALES CENTRAL</v>
      </c>
      <c r="Q112" t="str">
        <f>IFERROR(+VLOOKUP(D112,'[1]Migracion feb25 Ver to ATT'!$B:$B,1,FALSE), "NO")</f>
        <v>NO</v>
      </c>
      <c r="R112" s="26">
        <f t="shared" si="3"/>
        <v>25</v>
      </c>
    </row>
    <row r="113" spans="1:19" x14ac:dyDescent="0.3">
      <c r="A113" t="s">
        <v>22</v>
      </c>
      <c r="B113">
        <v>25</v>
      </c>
      <c r="C113">
        <v>3</v>
      </c>
      <c r="D113" s="7" t="s">
        <v>239</v>
      </c>
      <c r="E113" s="7" t="s">
        <v>240</v>
      </c>
      <c r="F113" s="7">
        <v>235</v>
      </c>
      <c r="G113" s="35">
        <v>-35</v>
      </c>
      <c r="H113" s="35">
        <v>50</v>
      </c>
      <c r="I113" s="7" t="s">
        <v>30</v>
      </c>
      <c r="J113" s="35">
        <v>4.2300000000000004</v>
      </c>
      <c r="K113" s="35">
        <v>1.92</v>
      </c>
      <c r="L113" s="7">
        <v>21.15</v>
      </c>
      <c r="M113">
        <f t="shared" si="2"/>
        <v>21.15</v>
      </c>
      <c r="N113" t="str">
        <f>+VLOOKUP(D113,'DISPOSITIVOS ACTIVOS'!B:D,3,FALSE)</f>
        <v>Iphone</v>
      </c>
      <c r="O113" t="str">
        <f>+VLOOKUP(D113,'DISPOSITIVOS ACTIVOS'!B:G,6,FALSE)</f>
        <v>RODRIGUEZ, VERUUZKO</v>
      </c>
      <c r="P113" t="str">
        <f>+VLOOKUP(D113,'DISPOSITIVOS ACTIVOS'!$B$1:$H$299,7,FALSE)</f>
        <v>SALES CENTRAL</v>
      </c>
      <c r="Q113" t="str">
        <f>IFERROR(+VLOOKUP(D113,'[1]Migracion feb25 Ver to ATT'!$B:$B,1,FALSE), "NO")</f>
        <v>901-275-5428</v>
      </c>
      <c r="R113" s="26">
        <f t="shared" si="3"/>
        <v>15</v>
      </c>
    </row>
    <row r="114" spans="1:19" x14ac:dyDescent="0.3">
      <c r="A114" t="s">
        <v>22</v>
      </c>
      <c r="B114">
        <v>25</v>
      </c>
      <c r="C114">
        <v>3</v>
      </c>
      <c r="D114" s="7" t="s">
        <v>241</v>
      </c>
      <c r="E114" s="7" t="s">
        <v>242</v>
      </c>
      <c r="F114" s="7">
        <v>237</v>
      </c>
      <c r="G114" s="7" t="s">
        <v>30</v>
      </c>
      <c r="H114" s="35">
        <v>50</v>
      </c>
      <c r="I114" s="7" t="s">
        <v>30</v>
      </c>
      <c r="J114" s="35">
        <v>4.87</v>
      </c>
      <c r="K114" s="35">
        <v>2.57</v>
      </c>
      <c r="L114" s="7">
        <v>57.44</v>
      </c>
      <c r="M114" s="41">
        <f t="shared" si="2"/>
        <v>57.44</v>
      </c>
      <c r="N114" t="str">
        <f>+VLOOKUP(D114,'DISPOSITIVOS ACTIVOS'!B:D,3,FALSE)</f>
        <v>Galaxy</v>
      </c>
      <c r="O114" t="str">
        <f>+VLOOKUP(D114,'DISPOSITIVOS ACTIVOS'!B:G,6,FALSE)</f>
        <v>RODRIGUEZ SR, CHRISTIAN MICHEAL</v>
      </c>
      <c r="P114" t="str">
        <f>+VLOOKUP(D114,'DISPOSITIVOS ACTIVOS'!$B$1:$H$299,7,FALSE)</f>
        <v>LOGISTIC SOUTH</v>
      </c>
      <c r="Q114" t="str">
        <f>IFERROR(+VLOOKUP(D114,'[1]Migracion feb25 Ver to ATT'!$B:$B,1,FALSE), "NO")</f>
        <v>NO</v>
      </c>
      <c r="R114" s="26">
        <f t="shared" si="3"/>
        <v>25</v>
      </c>
    </row>
    <row r="115" spans="1:19" x14ac:dyDescent="0.3">
      <c r="A115" t="s">
        <v>22</v>
      </c>
      <c r="B115">
        <v>25</v>
      </c>
      <c r="C115">
        <v>3</v>
      </c>
      <c r="D115" s="7" t="s">
        <v>243</v>
      </c>
      <c r="E115" s="7" t="s">
        <v>244</v>
      </c>
      <c r="F115" s="7">
        <v>239</v>
      </c>
      <c r="G115" s="35">
        <v>-16.670000000000002</v>
      </c>
      <c r="H115" s="35">
        <v>50</v>
      </c>
      <c r="I115" s="7" t="s">
        <v>30</v>
      </c>
      <c r="J115" s="35">
        <v>4.2300000000000004</v>
      </c>
      <c r="K115" s="35">
        <v>1.92</v>
      </c>
      <c r="L115" s="7">
        <v>39.479999999999997</v>
      </c>
      <c r="M115" s="41">
        <f t="shared" si="2"/>
        <v>39.479999999999997</v>
      </c>
      <c r="N115" t="str">
        <f>+VLOOKUP(D115,'DISPOSITIVOS ACTIVOS'!B:D,3,FALSE)</f>
        <v xml:space="preserve">Galaxy </v>
      </c>
      <c r="O115" t="str">
        <f>+VLOOKUP(D115,'DISPOSITIVOS ACTIVOS'!B:G,6,FALSE)</f>
        <v>SUAREZ, ANDRES E</v>
      </c>
      <c r="P115" t="str">
        <f>+VLOOKUP(D115,'DISPOSITIVOS ACTIVOS'!$B$1:$H$299,7,FALSE)</f>
        <v>LOGISTICS CENTRAL</v>
      </c>
      <c r="Q115" t="str">
        <f>IFERROR(+VLOOKUP(D115,'[1]Migracion feb25 Ver to ATT'!$B:$B,1,FALSE), "NO")</f>
        <v>901-427-2093</v>
      </c>
      <c r="R115" s="26">
        <f t="shared" si="3"/>
        <v>15</v>
      </c>
    </row>
    <row r="116" spans="1:19" x14ac:dyDescent="0.3">
      <c r="A116" t="s">
        <v>22</v>
      </c>
      <c r="B116">
        <v>25</v>
      </c>
      <c r="C116">
        <v>3</v>
      </c>
      <c r="D116" s="7" t="s">
        <v>245</v>
      </c>
      <c r="E116" s="7" t="s">
        <v>246</v>
      </c>
      <c r="F116" s="7">
        <v>241</v>
      </c>
      <c r="G116" s="7" t="s">
        <v>30</v>
      </c>
      <c r="H116" s="35">
        <v>50</v>
      </c>
      <c r="I116" s="35">
        <v>5</v>
      </c>
      <c r="J116" s="35">
        <v>4.87</v>
      </c>
      <c r="K116" s="35">
        <v>2.57</v>
      </c>
      <c r="L116" s="7">
        <v>62.44</v>
      </c>
      <c r="M116" s="41">
        <f t="shared" si="2"/>
        <v>62.44</v>
      </c>
      <c r="N116" t="s">
        <v>37</v>
      </c>
      <c r="O116" t="s">
        <v>37</v>
      </c>
      <c r="P116" t="e">
        <f>+VLOOKUP(D116,'DISPOSITIVOS ACTIVOS'!$B$1:$H$299,7,FALSE)</f>
        <v>#N/A</v>
      </c>
      <c r="Q116" t="str">
        <f>IFERROR(+VLOOKUP(D116,'[1]Migracion feb25 Ver to ATT'!$B:$B,1,FALSE), "NO")</f>
        <v>NO</v>
      </c>
      <c r="R116" s="26">
        <f t="shared" si="3"/>
        <v>25</v>
      </c>
    </row>
    <row r="117" spans="1:19" x14ac:dyDescent="0.3">
      <c r="A117" t="s">
        <v>22</v>
      </c>
      <c r="B117">
        <v>25</v>
      </c>
      <c r="C117">
        <v>3</v>
      </c>
      <c r="D117" s="7" t="s">
        <v>247</v>
      </c>
      <c r="E117" s="7" t="s">
        <v>248</v>
      </c>
      <c r="F117" s="7">
        <v>243</v>
      </c>
      <c r="G117" s="35">
        <v>-16.670000000000002</v>
      </c>
      <c r="H117" s="35">
        <v>50</v>
      </c>
      <c r="I117" s="7" t="s">
        <v>30</v>
      </c>
      <c r="J117" s="35">
        <v>4.2300000000000004</v>
      </c>
      <c r="K117" s="35">
        <v>1.92</v>
      </c>
      <c r="L117" s="7">
        <v>39.479999999999997</v>
      </c>
      <c r="M117" s="41">
        <f t="shared" ref="M117:M122" si="4">+L117</f>
        <v>39.479999999999997</v>
      </c>
      <c r="N117" t="str">
        <f>+VLOOKUP(D117,'DISPOSITIVOS ACTIVOS'!B:D,3,FALSE)</f>
        <v xml:space="preserve">Galaxy </v>
      </c>
      <c r="O117" t="str">
        <f>+VLOOKUP(D117,'DISPOSITIVOS ACTIVOS'!B:G,6,FALSE)</f>
        <v>RODRIGUEZ MELENDEZ, CESAR ANIBAL</v>
      </c>
      <c r="P117" t="str">
        <f>+VLOOKUP(D117,'DISPOSITIVOS ACTIVOS'!$B$1:$H$299,7,FALSE)</f>
        <v>LOGISTICS NORTH</v>
      </c>
      <c r="Q117" t="str">
        <f>IFERROR(+VLOOKUP(D117,'[1]Migracion feb25 Ver to ATT'!$B:$B,1,FALSE), "NO")</f>
        <v>901-500-6953</v>
      </c>
      <c r="R117" s="26">
        <f t="shared" si="3"/>
        <v>15</v>
      </c>
    </row>
    <row r="118" spans="1:19" x14ac:dyDescent="0.3">
      <c r="A118" t="s">
        <v>22</v>
      </c>
      <c r="B118">
        <v>25</v>
      </c>
      <c r="C118">
        <v>3</v>
      </c>
      <c r="D118" s="7" t="s">
        <v>249</v>
      </c>
      <c r="E118" s="7" t="s">
        <v>250</v>
      </c>
      <c r="F118" s="7">
        <v>245</v>
      </c>
      <c r="G118" s="7" t="s">
        <v>30</v>
      </c>
      <c r="H118" s="35">
        <v>50</v>
      </c>
      <c r="I118" s="7" t="s">
        <v>30</v>
      </c>
      <c r="J118" s="35">
        <v>4.87</v>
      </c>
      <c r="K118" s="35">
        <v>2.57</v>
      </c>
      <c r="L118" s="7">
        <v>57.44</v>
      </c>
      <c r="M118" s="41">
        <f t="shared" si="4"/>
        <v>57.44</v>
      </c>
      <c r="N118" t="str">
        <f>+VLOOKUP(D118,'DISPOSITIVOS ACTIVOS'!B:D,3,FALSE)</f>
        <v>Iphone</v>
      </c>
      <c r="O118" t="str">
        <f>+VLOOKUP(D118,'DISPOSITIVOS ACTIVOS'!B:G,6,FALSE)</f>
        <v>AVALOS, JOSEFINA</v>
      </c>
      <c r="P118" t="str">
        <f>+VLOOKUP(D118,'DISPOSITIVOS ACTIVOS'!$B$1:$H$299,7,FALSE)</f>
        <v>SALES WEST</v>
      </c>
      <c r="Q118" t="str">
        <f>IFERROR(+VLOOKUP(D118,'[1]Migracion feb25 Ver to ATT'!$B:$B,1,FALSE), "NO")</f>
        <v>NO</v>
      </c>
      <c r="R118" s="26">
        <f t="shared" si="3"/>
        <v>25</v>
      </c>
    </row>
    <row r="119" spans="1:19" x14ac:dyDescent="0.3">
      <c r="A119" t="s">
        <v>22</v>
      </c>
      <c r="B119">
        <v>25</v>
      </c>
      <c r="C119">
        <v>3</v>
      </c>
      <c r="D119" s="7" t="s">
        <v>251</v>
      </c>
      <c r="E119" s="7" t="s">
        <v>252</v>
      </c>
      <c r="F119" s="7">
        <v>247</v>
      </c>
      <c r="G119" s="35">
        <v>-16.670000000000002</v>
      </c>
      <c r="H119" s="35">
        <v>50</v>
      </c>
      <c r="I119" s="7" t="s">
        <v>30</v>
      </c>
      <c r="J119" s="35">
        <v>4.2300000000000004</v>
      </c>
      <c r="K119" s="35">
        <v>1.92</v>
      </c>
      <c r="L119" s="7">
        <v>39.479999999999997</v>
      </c>
      <c r="M119" s="41">
        <f t="shared" si="4"/>
        <v>39.479999999999997</v>
      </c>
      <c r="N119" t="str">
        <f>+VLOOKUP(D119,'DISPOSITIVOS ACTIVOS'!B:D,3,FALSE)</f>
        <v xml:space="preserve">Galaxy </v>
      </c>
      <c r="O119" t="str">
        <f>+VLOOKUP(D119,'DISPOSITIVOS ACTIVOS'!B:G,6,FALSE)</f>
        <v>DE LA TORRE, LUIS G</v>
      </c>
      <c r="P119" t="str">
        <f>+VLOOKUP(D119,'DISPOSITIVOS ACTIVOS'!$B$1:$H$299,7,FALSE)</f>
        <v>LOGISTICS WEST</v>
      </c>
      <c r="Q119" t="str">
        <f>IFERROR(+VLOOKUP(D119,'[1]Migracion feb25 Ver to ATT'!$B:$B,1,FALSE), "NO")</f>
        <v>901-585-9984</v>
      </c>
      <c r="R119" s="26">
        <f t="shared" si="3"/>
        <v>15</v>
      </c>
    </row>
    <row r="120" spans="1:19" x14ac:dyDescent="0.3">
      <c r="A120" t="s">
        <v>22</v>
      </c>
      <c r="B120">
        <v>25</v>
      </c>
      <c r="C120">
        <v>3</v>
      </c>
      <c r="D120" s="7" t="s">
        <v>253</v>
      </c>
      <c r="E120" s="7" t="s">
        <v>254</v>
      </c>
      <c r="F120" s="7">
        <v>249</v>
      </c>
      <c r="G120" s="35">
        <v>-16.670000000000002</v>
      </c>
      <c r="H120" s="35">
        <v>50</v>
      </c>
      <c r="I120" s="7" t="s">
        <v>30</v>
      </c>
      <c r="J120" s="35">
        <v>4.2300000000000004</v>
      </c>
      <c r="K120" s="35">
        <v>1.92</v>
      </c>
      <c r="L120" s="7">
        <v>39.479999999999997</v>
      </c>
      <c r="M120" s="41">
        <f t="shared" si="4"/>
        <v>39.479999999999997</v>
      </c>
      <c r="N120" t="str">
        <f>+VLOOKUP(D120,'DISPOSITIVOS ACTIVOS'!B:D,3,FALSE)</f>
        <v xml:space="preserve">Galaxy </v>
      </c>
      <c r="O120" t="str">
        <f>+VLOOKUP(D120,'DISPOSITIVOS ACTIVOS'!B:G,6,FALSE)</f>
        <v>CORPUS, BENY A</v>
      </c>
      <c r="P120" t="str">
        <f>+VLOOKUP(D120,'DISPOSITIVOS ACTIVOS'!$B$1:$H$299,7,FALSE)</f>
        <v>LOGISTICS CENTRAL</v>
      </c>
      <c r="Q120" t="str">
        <f>IFERROR(+VLOOKUP(D120,'[1]Migracion feb25 Ver to ATT'!$B:$B,1,FALSE), "NO")</f>
        <v>901-607-5291</v>
      </c>
      <c r="R120" s="26">
        <f t="shared" si="3"/>
        <v>15</v>
      </c>
    </row>
    <row r="121" spans="1:19" x14ac:dyDescent="0.3">
      <c r="A121" t="s">
        <v>22</v>
      </c>
      <c r="B121">
        <v>25</v>
      </c>
      <c r="C121">
        <v>3</v>
      </c>
      <c r="D121" s="7" t="s">
        <v>255</v>
      </c>
      <c r="E121" s="7" t="s">
        <v>256</v>
      </c>
      <c r="F121" s="7">
        <v>251</v>
      </c>
      <c r="G121" s="7" t="s">
        <v>30</v>
      </c>
      <c r="H121" s="35">
        <v>50</v>
      </c>
      <c r="I121" s="35">
        <v>5.99</v>
      </c>
      <c r="J121" s="35">
        <v>4.87</v>
      </c>
      <c r="K121" s="35">
        <v>2.57</v>
      </c>
      <c r="L121" s="7">
        <v>63.43</v>
      </c>
      <c r="M121" s="41">
        <f t="shared" si="4"/>
        <v>63.43</v>
      </c>
      <c r="N121" t="str">
        <f>+VLOOKUP(D121,'DISPOSITIVOS ACTIVOS'!B:D,3,FALSE)</f>
        <v>Iphone</v>
      </c>
      <c r="O121" t="str">
        <f>+VLOOKUP(D121,'DISPOSITIVOS ACTIVOS'!B:G,6,FALSE)</f>
        <v>CHANCHAMIRE, RAFAEL A</v>
      </c>
      <c r="P121" t="str">
        <f>+VLOOKUP(D121,'DISPOSITIVOS ACTIVOS'!$B$1:$H$299,7,FALSE)</f>
        <v>SALES WEST</v>
      </c>
      <c r="Q121" t="str">
        <f>IFERROR(+VLOOKUP(D121,'[1]Migracion feb25 Ver to ATT'!$B:$B,1,FALSE), "NO")</f>
        <v>NO</v>
      </c>
      <c r="R121" s="26">
        <f t="shared" si="3"/>
        <v>25</v>
      </c>
    </row>
    <row r="122" spans="1:19" x14ac:dyDescent="0.3">
      <c r="A122" t="s">
        <v>22</v>
      </c>
      <c r="B122">
        <v>25</v>
      </c>
      <c r="C122">
        <v>3</v>
      </c>
      <c r="D122" s="7" t="s">
        <v>257</v>
      </c>
      <c r="E122" s="7" t="s">
        <v>258</v>
      </c>
      <c r="F122" s="7">
        <v>253</v>
      </c>
      <c r="G122" s="35">
        <v>-35</v>
      </c>
      <c r="H122" s="35">
        <v>50</v>
      </c>
      <c r="I122" s="7" t="s">
        <v>30</v>
      </c>
      <c r="J122" s="35">
        <v>4.2300000000000004</v>
      </c>
      <c r="K122" s="35">
        <v>1.92</v>
      </c>
      <c r="L122" s="7">
        <v>21.15</v>
      </c>
      <c r="M122">
        <f t="shared" si="4"/>
        <v>21.15</v>
      </c>
      <c r="N122" t="str">
        <f>+VLOOKUP(D122,'DISPOSITIVOS ACTIVOS'!B:D,3,FALSE)</f>
        <v>Iphone</v>
      </c>
      <c r="O122" t="str">
        <f>+VLOOKUP(D122,'DISPOSITIVOS ACTIVOS'!B:G,6,FALSE)</f>
        <v>FERREIRA, ANA CAROLINA</v>
      </c>
      <c r="P122" t="str">
        <f>+VLOOKUP(D122,'DISPOSITIVOS ACTIVOS'!$B$1:$H$299,7,FALSE)</f>
        <v>MERCHANDISER WEST</v>
      </c>
      <c r="Q122" t="str">
        <f>IFERROR(+VLOOKUP(D122,'[1]Migracion feb25 Ver to ATT'!$B:$B,1,FALSE), "NO")</f>
        <v>901-713-7796</v>
      </c>
      <c r="R122" s="26">
        <f t="shared" si="3"/>
        <v>15</v>
      </c>
    </row>
    <row r="123" spans="1:19" x14ac:dyDescent="0.3">
      <c r="A123" t="s">
        <v>22</v>
      </c>
      <c r="B123">
        <v>25</v>
      </c>
      <c r="C123">
        <v>4</v>
      </c>
      <c r="D123" s="7" t="s">
        <v>38</v>
      </c>
      <c r="E123" s="7" t="s">
        <v>259</v>
      </c>
      <c r="F123" s="7" t="s">
        <v>260</v>
      </c>
      <c r="G123" s="35" t="s">
        <v>30</v>
      </c>
      <c r="H123" s="35"/>
      <c r="I123" s="7" t="s">
        <v>261</v>
      </c>
      <c r="J123" s="35" t="s">
        <v>30</v>
      </c>
      <c r="K123" s="35" t="s">
        <v>30</v>
      </c>
      <c r="L123" s="7" t="s">
        <v>30</v>
      </c>
      <c r="M123" s="41">
        <v>40</v>
      </c>
      <c r="N123" s="4" t="s">
        <v>40</v>
      </c>
      <c r="O123" t="str">
        <f>+VLOOKUP(D123,'DISPOSITIVOS ACTIVOS'!B:G,6,FALSE)</f>
        <v>Backup Internet</v>
      </c>
      <c r="P123" t="str">
        <f>+VLOOKUP(D123,'DISPOSITIVOS ACTIVOS'!$B$1:$H$299,7,FALSE)</f>
        <v>SALES CENTRAL</v>
      </c>
      <c r="Q123" t="str">
        <f>IFERROR(+VLOOKUP(D123,'[1]Migracion feb25 Ver to ATT'!$B:$B,1,FALSE), "NO")</f>
        <v>NO</v>
      </c>
      <c r="R123" s="26">
        <f t="shared" si="3"/>
        <v>25</v>
      </c>
    </row>
    <row r="124" spans="1:19" x14ac:dyDescent="0.3">
      <c r="A124" t="s">
        <v>22</v>
      </c>
      <c r="B124">
        <v>25</v>
      </c>
      <c r="C124">
        <v>4</v>
      </c>
      <c r="D124" s="7" t="s">
        <v>38</v>
      </c>
      <c r="E124" s="7" t="s">
        <v>39</v>
      </c>
      <c r="F124" s="7" t="s">
        <v>262</v>
      </c>
      <c r="G124" s="7" t="s">
        <v>30</v>
      </c>
      <c r="H124" s="35"/>
      <c r="I124" s="35" t="s">
        <v>263</v>
      </c>
      <c r="J124" s="35" t="s">
        <v>30</v>
      </c>
      <c r="K124" s="35" t="s">
        <v>264</v>
      </c>
      <c r="L124" s="7" t="s">
        <v>30</v>
      </c>
      <c r="M124">
        <v>23.75</v>
      </c>
      <c r="N124" s="4" t="s">
        <v>40</v>
      </c>
      <c r="O124" t="str">
        <f>+VLOOKUP(D124,'DISPOSITIVOS ACTIVOS'!B:G,6,FALSE)</f>
        <v>Backup Internet</v>
      </c>
      <c r="P124" t="str">
        <f>+VLOOKUP(D124,'DISPOSITIVOS ACTIVOS'!$B$1:$H$299,7,FALSE)</f>
        <v>SALES CENTRAL</v>
      </c>
      <c r="Q124" t="str">
        <f>IFERROR(+VLOOKUP(D124,'[1]Migracion feb25 Ver to ATT'!$B:$B,1,FALSE), "NO")</f>
        <v>NO</v>
      </c>
      <c r="R124" s="26">
        <f t="shared" si="3"/>
        <v>25</v>
      </c>
    </row>
    <row r="125" spans="1:19" x14ac:dyDescent="0.3">
      <c r="A125" t="s">
        <v>22</v>
      </c>
      <c r="B125">
        <v>25</v>
      </c>
      <c r="C125">
        <v>4</v>
      </c>
      <c r="D125" s="7" t="s">
        <v>41</v>
      </c>
      <c r="E125" s="7" t="s">
        <v>265</v>
      </c>
      <c r="F125" s="7" t="s">
        <v>260</v>
      </c>
      <c r="G125" s="35" t="s">
        <v>30</v>
      </c>
      <c r="H125" s="35"/>
      <c r="I125" s="7" t="s">
        <v>261</v>
      </c>
      <c r="J125" s="35" t="s">
        <v>30</v>
      </c>
      <c r="K125" s="35" t="s">
        <v>30</v>
      </c>
      <c r="L125" s="7" t="s">
        <v>30</v>
      </c>
      <c r="M125" s="41">
        <v>40</v>
      </c>
      <c r="N125" s="4" t="s">
        <v>40</v>
      </c>
      <c r="O125" t="str">
        <f>+VLOOKUP(D125,'DISPOSITIVOS ACTIVOS'!B:G,6,FALSE)</f>
        <v>Backup Internet</v>
      </c>
      <c r="P125" t="str">
        <f>+VLOOKUP(D125,'DISPOSITIVOS ACTIVOS'!$B$1:$H$299,7,FALSE)</f>
        <v>SALES CENTRAL</v>
      </c>
      <c r="Q125" t="str">
        <f>IFERROR(+VLOOKUP(D125,'[1]Migracion feb25 Ver to ATT'!$B:$B,1,FALSE), "NO")</f>
        <v>NO</v>
      </c>
      <c r="R125" s="26">
        <f t="shared" si="3"/>
        <v>25</v>
      </c>
    </row>
    <row r="126" spans="1:19" x14ac:dyDescent="0.3">
      <c r="A126" t="s">
        <v>22</v>
      </c>
      <c r="B126">
        <v>25</v>
      </c>
      <c r="C126">
        <v>4</v>
      </c>
      <c r="D126" s="7" t="s">
        <v>41</v>
      </c>
      <c r="E126" s="7" t="s">
        <v>42</v>
      </c>
      <c r="F126" s="7" t="s">
        <v>266</v>
      </c>
      <c r="G126" s="35" t="s">
        <v>30</v>
      </c>
      <c r="H126" s="35"/>
      <c r="I126" s="7" t="s">
        <v>263</v>
      </c>
      <c r="J126" s="35" t="s">
        <v>30</v>
      </c>
      <c r="K126" s="35" t="s">
        <v>264</v>
      </c>
      <c r="L126" s="7" t="s">
        <v>30</v>
      </c>
      <c r="M126">
        <v>23.75</v>
      </c>
      <c r="N126" s="4" t="s">
        <v>40</v>
      </c>
      <c r="O126" t="str">
        <f>+VLOOKUP(D126,'DISPOSITIVOS ACTIVOS'!B:G,6,FALSE)</f>
        <v>Backup Internet</v>
      </c>
      <c r="P126" t="str">
        <f>+VLOOKUP(D126,'DISPOSITIVOS ACTIVOS'!$B$1:$H$299,7,FALSE)</f>
        <v>SALES CENTRAL</v>
      </c>
      <c r="Q126" t="str">
        <f>IFERROR(+VLOOKUP(D126,'[1]Migracion feb25 Ver to ATT'!$B:$B,1,FALSE), "NO")</f>
        <v>NO</v>
      </c>
      <c r="R126" s="26">
        <f t="shared" si="3"/>
        <v>25</v>
      </c>
    </row>
    <row r="127" spans="1:19" x14ac:dyDescent="0.3">
      <c r="A127" t="s">
        <v>22</v>
      </c>
      <c r="B127">
        <v>25</v>
      </c>
      <c r="C127">
        <v>4</v>
      </c>
      <c r="D127" s="7" t="s">
        <v>267</v>
      </c>
      <c r="E127" s="7" t="s">
        <v>267</v>
      </c>
      <c r="F127" s="7" t="s">
        <v>268</v>
      </c>
      <c r="G127" s="7" t="s">
        <v>269</v>
      </c>
      <c r="H127" s="35"/>
      <c r="I127" s="35" t="s">
        <v>30</v>
      </c>
      <c r="J127" s="35" t="s">
        <v>30</v>
      </c>
      <c r="K127" s="35" t="s">
        <v>30</v>
      </c>
      <c r="L127" s="7" t="s">
        <v>30</v>
      </c>
      <c r="M127">
        <v>-16</v>
      </c>
      <c r="N127" s="4" t="s">
        <v>270</v>
      </c>
      <c r="O127" t="e">
        <f>+VLOOKUP(D127,'DISPOSITIVOS ACTIVOS'!B:G,6,FALSE)</f>
        <v>#N/A</v>
      </c>
      <c r="P127" t="e">
        <f>+VLOOKUP(D127,'DISPOSITIVOS ACTIVOS'!$B$1:$H$299,7,FALSE)</f>
        <v>#N/A</v>
      </c>
      <c r="Q127" t="str">
        <f>IFERROR(+VLOOKUP(D127,'[1]Migracion feb25 Ver to ATT'!$B:$B,1,FALSE), "NO")</f>
        <v>NO</v>
      </c>
      <c r="R127" s="26">
        <f t="shared" ref="R127:R136" si="5">+M127</f>
        <v>-16</v>
      </c>
      <c r="S127" s="4"/>
    </row>
    <row r="128" spans="1:19" x14ac:dyDescent="0.3">
      <c r="A128" t="s">
        <v>22</v>
      </c>
      <c r="B128">
        <v>25</v>
      </c>
      <c r="C128">
        <v>4</v>
      </c>
      <c r="D128" s="7" t="s">
        <v>271</v>
      </c>
      <c r="E128" s="7" t="s">
        <v>271</v>
      </c>
      <c r="F128" s="7" t="s">
        <v>268</v>
      </c>
      <c r="G128" s="35" t="s">
        <v>269</v>
      </c>
      <c r="H128" s="35"/>
      <c r="I128" s="7" t="s">
        <v>30</v>
      </c>
      <c r="J128" s="35" t="s">
        <v>30</v>
      </c>
      <c r="K128" s="35" t="s">
        <v>30</v>
      </c>
      <c r="L128" s="7" t="s">
        <v>30</v>
      </c>
      <c r="M128">
        <v>-16</v>
      </c>
      <c r="N128" s="4" t="s">
        <v>270</v>
      </c>
      <c r="O128" t="e">
        <f>+VLOOKUP(D128,'DISPOSITIVOS ACTIVOS'!B:G,6,FALSE)</f>
        <v>#N/A</v>
      </c>
      <c r="P128" t="e">
        <f>+VLOOKUP(D128,'DISPOSITIVOS ACTIVOS'!$B$1:$H$299,7,FALSE)</f>
        <v>#N/A</v>
      </c>
      <c r="Q128" t="str">
        <f>IFERROR(+VLOOKUP(D128,'[1]Migracion feb25 Ver to ATT'!$B:$B,1,FALSE), "NO")</f>
        <v>NO</v>
      </c>
      <c r="R128" s="26">
        <f t="shared" si="5"/>
        <v>-16</v>
      </c>
      <c r="S128" s="4"/>
    </row>
    <row r="129" spans="1:19" x14ac:dyDescent="0.3">
      <c r="A129" t="s">
        <v>22</v>
      </c>
      <c r="B129">
        <v>25</v>
      </c>
      <c r="C129">
        <v>4</v>
      </c>
      <c r="D129" s="7" t="s">
        <v>272</v>
      </c>
      <c r="E129" s="7" t="s">
        <v>272</v>
      </c>
      <c r="F129" s="7" t="s">
        <v>268</v>
      </c>
      <c r="G129" s="35" t="s">
        <v>269</v>
      </c>
      <c r="H129" s="35"/>
      <c r="I129" s="7" t="s">
        <v>30</v>
      </c>
      <c r="J129" s="35" t="s">
        <v>30</v>
      </c>
      <c r="K129" s="35" t="s">
        <v>30</v>
      </c>
      <c r="L129" s="7" t="s">
        <v>30</v>
      </c>
      <c r="M129">
        <v>-16</v>
      </c>
      <c r="N129" s="4" t="s">
        <v>270</v>
      </c>
      <c r="O129" t="e">
        <f>+VLOOKUP(D129,'DISPOSITIVOS ACTIVOS'!B:G,6,FALSE)</f>
        <v>#N/A</v>
      </c>
      <c r="P129" t="e">
        <f>+VLOOKUP(D129,'DISPOSITIVOS ACTIVOS'!$B$1:$H$299,7,FALSE)</f>
        <v>#N/A</v>
      </c>
      <c r="Q129" t="str">
        <f>IFERROR(+VLOOKUP(D129,'[1]Migracion feb25 Ver to ATT'!$B:$B,1,FALSE), "NO")</f>
        <v>NO</v>
      </c>
      <c r="R129" s="26">
        <f t="shared" si="5"/>
        <v>-16</v>
      </c>
      <c r="S129" s="4"/>
    </row>
    <row r="130" spans="1:19" x14ac:dyDescent="0.3">
      <c r="A130" t="s">
        <v>22</v>
      </c>
      <c r="B130">
        <v>25</v>
      </c>
      <c r="C130">
        <v>4</v>
      </c>
      <c r="D130" s="7" t="s">
        <v>273</v>
      </c>
      <c r="E130" s="7" t="s">
        <v>273</v>
      </c>
      <c r="F130" s="7" t="s">
        <v>274</v>
      </c>
      <c r="G130" s="7" t="s">
        <v>269</v>
      </c>
      <c r="H130" s="35"/>
      <c r="I130" s="35" t="s">
        <v>30</v>
      </c>
      <c r="J130" s="35" t="s">
        <v>30</v>
      </c>
      <c r="K130" s="35" t="s">
        <v>30</v>
      </c>
      <c r="L130" s="7" t="s">
        <v>30</v>
      </c>
      <c r="M130">
        <v>-16</v>
      </c>
      <c r="N130" s="4" t="s">
        <v>270</v>
      </c>
      <c r="O130" t="e">
        <f>+VLOOKUP(D130,'DISPOSITIVOS ACTIVOS'!B:G,6,FALSE)</f>
        <v>#N/A</v>
      </c>
      <c r="P130" t="e">
        <f>+VLOOKUP(D130,'DISPOSITIVOS ACTIVOS'!$B$1:$H$299,7,FALSE)</f>
        <v>#N/A</v>
      </c>
      <c r="Q130" t="str">
        <f>IFERROR(+VLOOKUP(D130,'[1]Migracion feb25 Ver to ATT'!$B:$B,1,FALSE), "NO")</f>
        <v>NO</v>
      </c>
      <c r="R130" s="26">
        <f t="shared" si="5"/>
        <v>-16</v>
      </c>
      <c r="S130" s="4"/>
    </row>
    <row r="131" spans="1:19" x14ac:dyDescent="0.3">
      <c r="A131" t="s">
        <v>22</v>
      </c>
      <c r="B131">
        <v>25</v>
      </c>
      <c r="C131">
        <v>4</v>
      </c>
      <c r="D131" s="7" t="s">
        <v>275</v>
      </c>
      <c r="E131" s="7" t="s">
        <v>275</v>
      </c>
      <c r="F131" s="7" t="s">
        <v>274</v>
      </c>
      <c r="G131" s="35" t="s">
        <v>269</v>
      </c>
      <c r="H131" s="35"/>
      <c r="I131" s="7" t="s">
        <v>30</v>
      </c>
      <c r="J131" s="35" t="s">
        <v>30</v>
      </c>
      <c r="K131" s="35" t="s">
        <v>30</v>
      </c>
      <c r="L131" s="7" t="s">
        <v>30</v>
      </c>
      <c r="M131">
        <v>-16</v>
      </c>
      <c r="N131" s="4" t="s">
        <v>270</v>
      </c>
      <c r="O131" t="e">
        <f>+VLOOKUP(D131,'DISPOSITIVOS ACTIVOS'!B:G,6,FALSE)</f>
        <v>#N/A</v>
      </c>
      <c r="P131" t="e">
        <f>+VLOOKUP(D131,'DISPOSITIVOS ACTIVOS'!$B$1:$H$299,7,FALSE)</f>
        <v>#N/A</v>
      </c>
      <c r="Q131" t="str">
        <f>IFERROR(+VLOOKUP(D131,'[1]Migracion feb25 Ver to ATT'!$B:$B,1,FALSE), "NO")</f>
        <v>NO</v>
      </c>
      <c r="R131" s="26">
        <f t="shared" si="5"/>
        <v>-16</v>
      </c>
      <c r="S131" s="4"/>
    </row>
    <row r="132" spans="1:19" x14ac:dyDescent="0.3">
      <c r="A132" t="s">
        <v>22</v>
      </c>
      <c r="B132">
        <v>25</v>
      </c>
      <c r="C132">
        <v>4</v>
      </c>
      <c r="D132" s="7" t="s">
        <v>276</v>
      </c>
      <c r="E132" s="7" t="s">
        <v>276</v>
      </c>
      <c r="F132" s="7" t="s">
        <v>277</v>
      </c>
      <c r="G132" s="35" t="s">
        <v>269</v>
      </c>
      <c r="H132" s="35"/>
      <c r="I132" s="7" t="s">
        <v>30</v>
      </c>
      <c r="J132" s="35" t="s">
        <v>30</v>
      </c>
      <c r="K132" s="35" t="s">
        <v>30</v>
      </c>
      <c r="L132" s="7" t="s">
        <v>30</v>
      </c>
      <c r="M132">
        <v>-16</v>
      </c>
      <c r="N132" s="4" t="s">
        <v>270</v>
      </c>
      <c r="O132" t="e">
        <f>+VLOOKUP(D132,'DISPOSITIVOS ACTIVOS'!B:G,6,FALSE)</f>
        <v>#N/A</v>
      </c>
      <c r="P132" t="e">
        <f>+VLOOKUP(D132,'DISPOSITIVOS ACTIVOS'!$B$1:$H$299,7,FALSE)</f>
        <v>#N/A</v>
      </c>
      <c r="Q132" t="str">
        <f>IFERROR(+VLOOKUP(D132,'[1]Migracion feb25 Ver to ATT'!$B:$B,1,FALSE), "NO")</f>
        <v>NO</v>
      </c>
      <c r="R132" s="26">
        <f t="shared" si="5"/>
        <v>-16</v>
      </c>
      <c r="S132" s="4"/>
    </row>
    <row r="133" spans="1:19" x14ac:dyDescent="0.3">
      <c r="A133" t="s">
        <v>22</v>
      </c>
      <c r="B133">
        <v>25</v>
      </c>
      <c r="C133">
        <v>4</v>
      </c>
      <c r="D133" s="7" t="s">
        <v>278</v>
      </c>
      <c r="E133" s="7" t="s">
        <v>278</v>
      </c>
      <c r="F133" s="7" t="s">
        <v>277</v>
      </c>
      <c r="G133" s="7" t="s">
        <v>269</v>
      </c>
      <c r="H133" s="35"/>
      <c r="I133" s="35" t="s">
        <v>30</v>
      </c>
      <c r="J133" s="35" t="s">
        <v>30</v>
      </c>
      <c r="K133" s="35" t="s">
        <v>30</v>
      </c>
      <c r="L133" s="7" t="s">
        <v>30</v>
      </c>
      <c r="M133">
        <v>-16</v>
      </c>
      <c r="N133" s="4" t="s">
        <v>270</v>
      </c>
      <c r="O133" t="e">
        <f>+VLOOKUP(D133,'DISPOSITIVOS ACTIVOS'!B:G,6,FALSE)</f>
        <v>#N/A</v>
      </c>
      <c r="P133" t="e">
        <f>+VLOOKUP(D133,'DISPOSITIVOS ACTIVOS'!$B$1:$H$299,7,FALSE)</f>
        <v>#N/A</v>
      </c>
      <c r="Q133" t="str">
        <f>IFERROR(+VLOOKUP(D133,'[1]Migracion feb25 Ver to ATT'!$B:$B,1,FALSE), "NO")</f>
        <v>NO</v>
      </c>
      <c r="R133" s="26">
        <f t="shared" si="5"/>
        <v>-16</v>
      </c>
      <c r="S133" s="4"/>
    </row>
    <row r="134" spans="1:19" x14ac:dyDescent="0.3">
      <c r="A134" t="s">
        <v>22</v>
      </c>
      <c r="B134">
        <v>25</v>
      </c>
      <c r="C134">
        <v>4</v>
      </c>
      <c r="D134" s="7" t="s">
        <v>279</v>
      </c>
      <c r="E134" s="7" t="s">
        <v>279</v>
      </c>
      <c r="F134" s="7" t="s">
        <v>277</v>
      </c>
      <c r="G134" s="35" t="s">
        <v>269</v>
      </c>
      <c r="H134" s="35"/>
      <c r="I134" s="7" t="s">
        <v>30</v>
      </c>
      <c r="J134" s="35" t="s">
        <v>30</v>
      </c>
      <c r="K134" s="35" t="s">
        <v>30</v>
      </c>
      <c r="L134" s="7" t="s">
        <v>30</v>
      </c>
      <c r="M134">
        <v>-16</v>
      </c>
      <c r="N134" s="4" t="s">
        <v>270</v>
      </c>
      <c r="O134" t="e">
        <f>+VLOOKUP(D134,'DISPOSITIVOS ACTIVOS'!B:G,6,FALSE)</f>
        <v>#N/A</v>
      </c>
      <c r="P134" t="e">
        <f>+VLOOKUP(D134,'DISPOSITIVOS ACTIVOS'!$B$1:$H$299,7,FALSE)</f>
        <v>#N/A</v>
      </c>
      <c r="Q134" t="str">
        <f>IFERROR(+VLOOKUP(D134,'[1]Migracion feb25 Ver to ATT'!$B:$B,1,FALSE), "NO")</f>
        <v>NO</v>
      </c>
      <c r="R134" s="26">
        <f t="shared" si="5"/>
        <v>-16</v>
      </c>
      <c r="S134" s="4"/>
    </row>
    <row r="135" spans="1:19" x14ac:dyDescent="0.3">
      <c r="A135" t="s">
        <v>22</v>
      </c>
      <c r="B135">
        <v>25</v>
      </c>
      <c r="C135">
        <v>4</v>
      </c>
      <c r="D135" s="7" t="s">
        <v>280</v>
      </c>
      <c r="E135" s="7" t="s">
        <v>280</v>
      </c>
      <c r="F135" s="7" t="s">
        <v>281</v>
      </c>
      <c r="G135" s="35" t="s">
        <v>269</v>
      </c>
      <c r="H135" s="35"/>
      <c r="I135" s="7" t="s">
        <v>30</v>
      </c>
      <c r="J135" s="35" t="s">
        <v>30</v>
      </c>
      <c r="K135" s="35" t="s">
        <v>30</v>
      </c>
      <c r="L135" s="7" t="s">
        <v>30</v>
      </c>
      <c r="M135">
        <v>-16</v>
      </c>
      <c r="N135" s="4" t="s">
        <v>270</v>
      </c>
      <c r="O135" t="e">
        <f>+VLOOKUP(D135,'DISPOSITIVOS ACTIVOS'!B:G,6,FALSE)</f>
        <v>#N/A</v>
      </c>
      <c r="P135" t="e">
        <f>+VLOOKUP(D135,'DISPOSITIVOS ACTIVOS'!$B$1:$H$299,7,FALSE)</f>
        <v>#N/A</v>
      </c>
      <c r="Q135" t="str">
        <f>IFERROR(+VLOOKUP(D135,'[1]Migracion feb25 Ver to ATT'!$B:$B,1,FALSE), "NO")</f>
        <v>NO</v>
      </c>
      <c r="R135" s="26">
        <f t="shared" si="5"/>
        <v>-16</v>
      </c>
      <c r="S135" s="4"/>
    </row>
    <row r="136" spans="1:19" x14ac:dyDescent="0.3">
      <c r="A136" t="s">
        <v>22</v>
      </c>
      <c r="B136">
        <v>25</v>
      </c>
      <c r="C136">
        <v>4</v>
      </c>
      <c r="D136" s="7" t="s">
        <v>282</v>
      </c>
      <c r="E136" s="7" t="s">
        <v>282</v>
      </c>
      <c r="F136" s="7" t="s">
        <v>281</v>
      </c>
      <c r="G136" s="7" t="s">
        <v>269</v>
      </c>
      <c r="H136" s="35"/>
      <c r="I136" s="35" t="s">
        <v>30</v>
      </c>
      <c r="J136" s="35" t="s">
        <v>30</v>
      </c>
      <c r="K136" s="35" t="s">
        <v>30</v>
      </c>
      <c r="L136" s="7" t="s">
        <v>30</v>
      </c>
      <c r="M136">
        <v>-16</v>
      </c>
      <c r="N136" s="4" t="s">
        <v>270</v>
      </c>
      <c r="O136" t="e">
        <f>+VLOOKUP(D136,'DISPOSITIVOS ACTIVOS'!B:G,6,FALSE)</f>
        <v>#N/A</v>
      </c>
      <c r="P136" t="e">
        <f>+VLOOKUP(D136,'DISPOSITIVOS ACTIVOS'!$B$1:$H$299,7,FALSE)</f>
        <v>#N/A</v>
      </c>
      <c r="Q136" t="str">
        <f>IFERROR(+VLOOKUP(D136,'[1]Migracion feb25 Ver to ATT'!$B:$B,1,FALSE), "NO")</f>
        <v>NO</v>
      </c>
      <c r="R136" s="26">
        <f t="shared" si="5"/>
        <v>-16</v>
      </c>
      <c r="S136" s="4"/>
    </row>
    <row r="137" spans="1:19" x14ac:dyDescent="0.3">
      <c r="A137" t="s">
        <v>22</v>
      </c>
      <c r="B137">
        <v>25</v>
      </c>
      <c r="C137">
        <v>4</v>
      </c>
      <c r="D137" s="7" t="s">
        <v>283</v>
      </c>
      <c r="E137" s="7" t="s">
        <v>283</v>
      </c>
      <c r="F137" s="7" t="s">
        <v>284</v>
      </c>
      <c r="G137" s="35" t="s">
        <v>269</v>
      </c>
      <c r="H137" s="35"/>
      <c r="I137" s="7" t="s">
        <v>30</v>
      </c>
      <c r="J137" s="35" t="s">
        <v>30</v>
      </c>
      <c r="K137" s="35" t="s">
        <v>30</v>
      </c>
      <c r="L137" s="7" t="s">
        <v>30</v>
      </c>
      <c r="M137">
        <v>-16</v>
      </c>
      <c r="N137" s="4" t="s">
        <v>270</v>
      </c>
      <c r="O137" t="e">
        <f>+VLOOKUP(D137,'DISPOSITIVOS ACTIVOS'!B:G,6,FALSE)</f>
        <v>#N/A</v>
      </c>
      <c r="P137" t="e">
        <f>+VLOOKUP(D137,'DISPOSITIVOS ACTIVOS'!$B$1:$H$299,7,FALSE)</f>
        <v>#N/A</v>
      </c>
      <c r="Q137" t="str">
        <f>IFERROR(+VLOOKUP(D137,'[1]Migracion feb25 Ver to ATT'!$B:$B,1,FALSE), "NO")</f>
        <v>NO</v>
      </c>
      <c r="R137" s="26">
        <f>+M137</f>
        <v>-16</v>
      </c>
      <c r="S137" s="4"/>
    </row>
    <row r="138" spans="1:19" x14ac:dyDescent="0.3">
      <c r="A138" t="s">
        <v>22</v>
      </c>
      <c r="B138">
        <v>25</v>
      </c>
      <c r="C138">
        <v>4</v>
      </c>
      <c r="D138" s="7" t="s">
        <v>63</v>
      </c>
      <c r="E138" s="7" t="s">
        <v>64</v>
      </c>
      <c r="F138" s="7" t="s">
        <v>285</v>
      </c>
      <c r="G138" s="35" t="s">
        <v>286</v>
      </c>
      <c r="H138" s="35"/>
      <c r="I138" s="7" t="s">
        <v>287</v>
      </c>
      <c r="J138" s="35" t="s">
        <v>288</v>
      </c>
      <c r="K138" s="35" t="s">
        <v>289</v>
      </c>
      <c r="L138" s="7" t="s">
        <v>290</v>
      </c>
      <c r="M138" s="41">
        <v>35.86</v>
      </c>
      <c r="N138" t="str">
        <f>+VLOOKUP(D138,'DISPOSITIVOS ACTIVOS'!B:D,3,FALSE)</f>
        <v>Iphone</v>
      </c>
      <c r="O138" t="str">
        <f>+VLOOKUP(D138,'DISPOSITIVOS ACTIVOS'!B:G,6,FALSE)</f>
        <v>MAITA, JOSE</v>
      </c>
      <c r="P138" t="str">
        <f>+VLOOKUP(D138,'DISPOSITIVOS ACTIVOS'!$B$1:$H$299,7,FALSE)</f>
        <v>SALES SOUTH</v>
      </c>
      <c r="Q138" t="str">
        <f>IFERROR(+VLOOKUP(D138,'[1]Migracion feb25 Ver to ATT'!$B:$B,1,FALSE), "NO")</f>
        <v>NO</v>
      </c>
      <c r="R138" s="26">
        <f t="shared" ref="R138:R194" si="6">+IF(Q138="NO",25,15)</f>
        <v>25</v>
      </c>
    </row>
    <row r="139" spans="1:19" x14ac:dyDescent="0.3">
      <c r="A139" t="s">
        <v>22</v>
      </c>
      <c r="B139">
        <v>25</v>
      </c>
      <c r="C139">
        <v>4</v>
      </c>
      <c r="D139" s="7" t="s">
        <v>65</v>
      </c>
      <c r="E139" s="7" t="s">
        <v>66</v>
      </c>
      <c r="F139" s="7" t="s">
        <v>291</v>
      </c>
      <c r="G139" s="7" t="s">
        <v>286</v>
      </c>
      <c r="H139" s="35"/>
      <c r="I139" s="35" t="s">
        <v>287</v>
      </c>
      <c r="J139" s="35" t="s">
        <v>30</v>
      </c>
      <c r="K139" s="35" t="s">
        <v>292</v>
      </c>
      <c r="L139" s="7" t="s">
        <v>293</v>
      </c>
      <c r="M139" s="41">
        <v>31.7</v>
      </c>
      <c r="N139" t="str">
        <f>+VLOOKUP(D139,'DISPOSITIVOS ACTIVOS'!B:D,3,FALSE)</f>
        <v>Iphone</v>
      </c>
      <c r="O139" t="str">
        <f>+VLOOKUP(D139,'DISPOSITIVOS ACTIVOS'!B:G,6,FALSE)</f>
        <v>SILVA R, ROSMARY JOSE</v>
      </c>
      <c r="P139" t="str">
        <f>+VLOOKUP(D139,'DISPOSITIVOS ACTIVOS'!$B$1:$H$299,7,FALSE)</f>
        <v>SALES SOUTH</v>
      </c>
      <c r="Q139" t="str">
        <f>IFERROR(+VLOOKUP(D139,'[1]Migracion feb25 Ver to ATT'!$B:$B,1,FALSE), "NO")</f>
        <v>205-529-6296</v>
      </c>
      <c r="R139" s="26">
        <f t="shared" si="6"/>
        <v>15</v>
      </c>
    </row>
    <row r="140" spans="1:19" x14ac:dyDescent="0.3">
      <c r="A140" t="s">
        <v>22</v>
      </c>
      <c r="B140">
        <v>25</v>
      </c>
      <c r="C140">
        <v>4</v>
      </c>
      <c r="D140" s="7" t="s">
        <v>67</v>
      </c>
      <c r="E140" s="7" t="s">
        <v>68</v>
      </c>
      <c r="F140" s="7" t="s">
        <v>294</v>
      </c>
      <c r="G140" s="35" t="s">
        <v>286</v>
      </c>
      <c r="H140" s="35"/>
      <c r="I140" s="7" t="s">
        <v>287</v>
      </c>
      <c r="J140" s="35" t="s">
        <v>30</v>
      </c>
      <c r="K140" s="35" t="s">
        <v>292</v>
      </c>
      <c r="L140" s="7" t="s">
        <v>293</v>
      </c>
      <c r="M140" s="41">
        <v>31.7</v>
      </c>
      <c r="N140" t="str">
        <f>+VLOOKUP(D140,'DISPOSITIVOS ACTIVOS'!B:D,3,FALSE)</f>
        <v>Iphone</v>
      </c>
      <c r="O140" t="str">
        <f>+VLOOKUP(D140,'DISPOSITIVOS ACTIVOS'!B:G,6,FALSE)</f>
        <v>GUERRERO, JESUS</v>
      </c>
      <c r="P140" t="str">
        <f>+VLOOKUP(D140,'DISPOSITIVOS ACTIVOS'!$B$1:$H$299,7,FALSE)</f>
        <v>SALES SOUTH</v>
      </c>
      <c r="Q140" t="str">
        <f>IFERROR(+VLOOKUP(D140,'[1]Migracion feb25 Ver to ATT'!$B:$B,1,FALSE), "NO")</f>
        <v>205-767-8090</v>
      </c>
      <c r="R140" s="26">
        <f t="shared" si="6"/>
        <v>15</v>
      </c>
    </row>
    <row r="141" spans="1:19" x14ac:dyDescent="0.3">
      <c r="A141" t="s">
        <v>22</v>
      </c>
      <c r="B141">
        <v>25</v>
      </c>
      <c r="C141">
        <v>4</v>
      </c>
      <c r="D141" s="7" t="s">
        <v>49</v>
      </c>
      <c r="E141" s="7" t="s">
        <v>50</v>
      </c>
      <c r="F141" s="7" t="s">
        <v>295</v>
      </c>
      <c r="G141" s="35" t="s">
        <v>296</v>
      </c>
      <c r="H141" s="35"/>
      <c r="I141" s="7" t="s">
        <v>297</v>
      </c>
      <c r="J141" s="35" t="s">
        <v>30</v>
      </c>
      <c r="K141" s="35" t="s">
        <v>264</v>
      </c>
      <c r="L141" s="7" t="s">
        <v>30</v>
      </c>
      <c r="M141" s="41">
        <v>30.75</v>
      </c>
      <c r="N141" t="str">
        <f>+VLOOKUP(D141,'DISPOSITIVOS ACTIVOS'!B:D,3,FALSE)</f>
        <v>Ipad</v>
      </c>
      <c r="O141" t="str">
        <f>+VLOOKUP(D141,'DISPOSITIVOS ACTIVOS'!B:G,6,FALSE)</f>
        <v>FLORES, JOSE DANIEL</v>
      </c>
      <c r="P141" t="str">
        <f>+VLOOKUP(D141,'DISPOSITIVOS ACTIVOS'!$B$1:$H$299,7,FALSE)</f>
        <v>SALES SOUTH</v>
      </c>
      <c r="Q141" t="str">
        <f>IFERROR(+VLOOKUP(D141,'[1]Migracion feb25 Ver to ATT'!$B:$B,1,FALSE), "NO")</f>
        <v>NO</v>
      </c>
      <c r="R141" s="26">
        <f t="shared" si="6"/>
        <v>25</v>
      </c>
    </row>
    <row r="142" spans="1:19" x14ac:dyDescent="0.3">
      <c r="A142" t="s">
        <v>22</v>
      </c>
      <c r="B142">
        <v>25</v>
      </c>
      <c r="C142">
        <v>4</v>
      </c>
      <c r="D142" s="7" t="s">
        <v>69</v>
      </c>
      <c r="E142" s="7" t="s">
        <v>70</v>
      </c>
      <c r="F142" s="7" t="s">
        <v>298</v>
      </c>
      <c r="G142" s="7" t="s">
        <v>286</v>
      </c>
      <c r="H142" s="35"/>
      <c r="I142" s="35" t="s">
        <v>287</v>
      </c>
      <c r="J142" s="35" t="s">
        <v>299</v>
      </c>
      <c r="K142" s="35" t="s">
        <v>289</v>
      </c>
      <c r="L142" s="7" t="s">
        <v>290</v>
      </c>
      <c r="M142" s="41">
        <v>41.85</v>
      </c>
      <c r="N142" t="str">
        <f>+VLOOKUP(D142,'DISPOSITIVOS ACTIVOS'!B:D,3,FALSE)</f>
        <v>Iphone</v>
      </c>
      <c r="O142" t="str">
        <f>+VLOOKUP(D142,'DISPOSITIVOS ACTIVOS'!B:G,6,FALSE)</f>
        <v>FLORES, JOSE DANIEL</v>
      </c>
      <c r="P142" t="str">
        <f>+VLOOKUP(D142,'DISPOSITIVOS ACTIVOS'!$B$1:$H$299,7,FALSE)</f>
        <v>SALES SOUTH</v>
      </c>
      <c r="Q142" t="str">
        <f>IFERROR(+VLOOKUP(D142,'[1]Migracion feb25 Ver to ATT'!$B:$B,1,FALSE), "NO")</f>
        <v>NO</v>
      </c>
      <c r="R142" s="26">
        <f t="shared" si="6"/>
        <v>25</v>
      </c>
    </row>
    <row r="143" spans="1:19" x14ac:dyDescent="0.3">
      <c r="A143" t="s">
        <v>22</v>
      </c>
      <c r="B143">
        <v>25</v>
      </c>
      <c r="C143">
        <v>4</v>
      </c>
      <c r="D143" s="42" t="s">
        <v>300</v>
      </c>
      <c r="E143" s="42" t="s">
        <v>301</v>
      </c>
      <c r="F143" s="7" t="s">
        <v>302</v>
      </c>
      <c r="G143" s="35" t="s">
        <v>303</v>
      </c>
      <c r="H143" s="35"/>
      <c r="I143" s="7" t="s">
        <v>304</v>
      </c>
      <c r="J143" s="35" t="s">
        <v>30</v>
      </c>
      <c r="K143" s="35" t="s">
        <v>305</v>
      </c>
      <c r="L143" s="7" t="s">
        <v>306</v>
      </c>
      <c r="M143" s="41">
        <v>45.75</v>
      </c>
      <c r="N143" s="4">
        <f>+VLOOKUP(D143,'DISPOSITIVOS ACTIVOS'!B:D,3,FALSE)</f>
        <v>0</v>
      </c>
      <c r="O143" t="str">
        <f>+VLOOKUP(D143,'DISPOSITIVOS ACTIVOS'!B:G,6,FALSE)</f>
        <v>backup</v>
      </c>
      <c r="P143" t="str">
        <f>+VLOOKUP(D143,'DISPOSITIVOS ACTIVOS'!$B$1:$H$299,7,FALSE)</f>
        <v>SALES CENTRAL</v>
      </c>
      <c r="Q143" t="str">
        <f>IFERROR(+VLOOKUP(D143,'[1]Migracion feb25 Ver to ATT'!$B:$B,1,FALSE), "NO")</f>
        <v>NO</v>
      </c>
      <c r="R143" s="26">
        <f t="shared" si="6"/>
        <v>25</v>
      </c>
    </row>
    <row r="144" spans="1:19" x14ac:dyDescent="0.3">
      <c r="A144" t="s">
        <v>22</v>
      </c>
      <c r="B144">
        <v>25</v>
      </c>
      <c r="C144">
        <v>4</v>
      </c>
      <c r="D144" s="7" t="s">
        <v>71</v>
      </c>
      <c r="E144" s="7" t="s">
        <v>72</v>
      </c>
      <c r="F144" s="7" t="s">
        <v>307</v>
      </c>
      <c r="G144" s="35" t="s">
        <v>286</v>
      </c>
      <c r="H144" s="35"/>
      <c r="I144" s="7" t="s">
        <v>287</v>
      </c>
      <c r="J144" s="35" t="s">
        <v>288</v>
      </c>
      <c r="K144" s="35" t="s">
        <v>289</v>
      </c>
      <c r="L144" s="7" t="s">
        <v>308</v>
      </c>
      <c r="M144" s="41">
        <v>35.409999999999997</v>
      </c>
      <c r="N144" t="str">
        <f>+VLOOKUP(D144,'DISPOSITIVOS ACTIVOS'!B:D,3,FALSE)</f>
        <v>Iphone</v>
      </c>
      <c r="O144" t="str">
        <f>+VLOOKUP(D144,'DISPOSITIVOS ACTIVOS'!B:G,6,FALSE)</f>
        <v>LOPEZ, YESENIA</v>
      </c>
      <c r="P144" t="str">
        <f>+VLOOKUP(D144,'DISPOSITIVOS ACTIVOS'!$B$1:$H$299,7,FALSE)</f>
        <v>SALES WEST</v>
      </c>
      <c r="Q144" t="str">
        <f>IFERROR(+VLOOKUP(D144,'[1]Migracion feb25 Ver to ATT'!$B:$B,1,FALSE), "NO")</f>
        <v>NO</v>
      </c>
      <c r="R144" s="26">
        <f t="shared" si="6"/>
        <v>25</v>
      </c>
    </row>
    <row r="145" spans="1:18" x14ac:dyDescent="0.3">
      <c r="A145" t="s">
        <v>22</v>
      </c>
      <c r="B145">
        <v>25</v>
      </c>
      <c r="C145">
        <v>4</v>
      </c>
      <c r="D145" s="7" t="s">
        <v>73</v>
      </c>
      <c r="E145" s="7" t="s">
        <v>74</v>
      </c>
      <c r="F145" s="7" t="s">
        <v>309</v>
      </c>
      <c r="G145" s="7" t="s">
        <v>310</v>
      </c>
      <c r="H145" s="35"/>
      <c r="I145" s="35" t="s">
        <v>287</v>
      </c>
      <c r="J145" s="35" t="s">
        <v>30</v>
      </c>
      <c r="K145" s="35" t="s">
        <v>311</v>
      </c>
      <c r="L145" s="7" t="s">
        <v>312</v>
      </c>
      <c r="M145" s="41">
        <v>206.7</v>
      </c>
      <c r="N145" t="str">
        <f>+VLOOKUP(D145,'DISPOSITIVOS ACTIVOS'!B:D,3,FALSE)</f>
        <v>Iphone</v>
      </c>
      <c r="O145" t="str">
        <f>+VLOOKUP(D145,'DISPOSITIVOS ACTIVOS'!B:G,6,FALSE)</f>
        <v>CAICEDO, VICTOR M</v>
      </c>
      <c r="P145" t="str">
        <f>+VLOOKUP(D145,'DISPOSITIVOS ACTIVOS'!$B$1:$H$299,7,FALSE)</f>
        <v>SALES WEST</v>
      </c>
      <c r="Q145" t="str">
        <f>IFERROR(+VLOOKUP(D145,'[1]Migracion feb25 Ver to ATT'!$B:$B,1,FALSE), "NO")</f>
        <v>314-580-3315</v>
      </c>
      <c r="R145" s="26">
        <f t="shared" si="6"/>
        <v>15</v>
      </c>
    </row>
    <row r="146" spans="1:18" x14ac:dyDescent="0.3">
      <c r="A146" t="s">
        <v>22</v>
      </c>
      <c r="B146">
        <v>25</v>
      </c>
      <c r="C146">
        <v>4</v>
      </c>
      <c r="D146" s="7" t="s">
        <v>75</v>
      </c>
      <c r="E146" s="7" t="s">
        <v>76</v>
      </c>
      <c r="F146" s="7" t="s">
        <v>313</v>
      </c>
      <c r="G146" s="35" t="s">
        <v>286</v>
      </c>
      <c r="H146" s="35"/>
      <c r="I146" s="7" t="s">
        <v>287</v>
      </c>
      <c r="J146" s="35" t="s">
        <v>30</v>
      </c>
      <c r="K146" s="35" t="s">
        <v>292</v>
      </c>
      <c r="L146" s="7" t="s">
        <v>293</v>
      </c>
      <c r="M146" s="41">
        <v>31.7</v>
      </c>
      <c r="N146" t="str">
        <f>+VLOOKUP(D146,'DISPOSITIVOS ACTIVOS'!B:D,3,FALSE)</f>
        <v>Iphone</v>
      </c>
      <c r="O146" t="str">
        <f>+VLOOKUP(D146,'DISPOSITIVOS ACTIVOS'!B:G,6,FALSE)</f>
        <v>SORIANO, NAYELY</v>
      </c>
      <c r="P146" t="str">
        <f>+VLOOKUP(D146,'DISPOSITIVOS ACTIVOS'!$B$1:$H$299,7,FALSE)</f>
        <v>SALES NORTH</v>
      </c>
      <c r="Q146" t="str">
        <f>IFERROR(+VLOOKUP(D146,'[1]Migracion feb25 Ver to ATT'!$B:$B,1,FALSE), "NO")</f>
        <v>317-500-7156</v>
      </c>
      <c r="R146" s="26">
        <f t="shared" si="6"/>
        <v>15</v>
      </c>
    </row>
    <row r="147" spans="1:18" x14ac:dyDescent="0.3">
      <c r="A147" t="s">
        <v>22</v>
      </c>
      <c r="B147">
        <v>25</v>
      </c>
      <c r="C147">
        <v>4</v>
      </c>
      <c r="D147" s="7" t="s">
        <v>77</v>
      </c>
      <c r="E147" s="7" t="s">
        <v>78</v>
      </c>
      <c r="F147" s="7" t="s">
        <v>314</v>
      </c>
      <c r="G147" s="35" t="s">
        <v>286</v>
      </c>
      <c r="H147" s="35"/>
      <c r="I147" s="7" t="s">
        <v>287</v>
      </c>
      <c r="J147" s="35" t="s">
        <v>30</v>
      </c>
      <c r="K147" s="35" t="s">
        <v>292</v>
      </c>
      <c r="L147" s="7" t="s">
        <v>293</v>
      </c>
      <c r="M147" s="41">
        <v>31.7</v>
      </c>
      <c r="N147" t="str">
        <f>+VLOOKUP(D147,'DISPOSITIVOS ACTIVOS'!B:D,3,FALSE)</f>
        <v>Iphone</v>
      </c>
      <c r="O147" t="str">
        <f>+VLOOKUP(D147,'DISPOSITIVOS ACTIVOS'!B:G,6,FALSE)</f>
        <v>CORADO, JUAN CARLOS</v>
      </c>
      <c r="P147" t="str">
        <f>+VLOOKUP(D147,'DISPOSITIVOS ACTIVOS'!$B$1:$H$299,7,FALSE)</f>
        <v>SALES SOUTH</v>
      </c>
      <c r="Q147" t="str">
        <f>IFERROR(+VLOOKUP(D147,'[1]Migracion feb25 Ver to ATT'!$B:$B,1,FALSE), "NO")</f>
        <v>423-321-4014</v>
      </c>
      <c r="R147" s="26">
        <f t="shared" si="6"/>
        <v>15</v>
      </c>
    </row>
    <row r="148" spans="1:18" x14ac:dyDescent="0.3">
      <c r="A148" t="s">
        <v>22</v>
      </c>
      <c r="B148">
        <v>25</v>
      </c>
      <c r="C148">
        <v>4</v>
      </c>
      <c r="D148" s="7" t="s">
        <v>79</v>
      </c>
      <c r="E148" s="7" t="s">
        <v>80</v>
      </c>
      <c r="F148" s="7" t="s">
        <v>315</v>
      </c>
      <c r="G148" s="7" t="s">
        <v>286</v>
      </c>
      <c r="H148" s="35"/>
      <c r="I148" s="35" t="s">
        <v>287</v>
      </c>
      <c r="J148" s="35" t="s">
        <v>30</v>
      </c>
      <c r="K148" s="35" t="s">
        <v>289</v>
      </c>
      <c r="L148" s="7" t="s">
        <v>308</v>
      </c>
      <c r="M148" s="41">
        <v>30.41</v>
      </c>
      <c r="N148" t="str">
        <f>+VLOOKUP(D148,'DISPOSITIVOS ACTIVOS'!B:D,3,FALSE)</f>
        <v>Iphone</v>
      </c>
      <c r="O148" t="str">
        <f>+VLOOKUP(D148,'DISPOSITIVOS ACTIVOS'!B:G,6,FALSE)</f>
        <v>SHINE, EDILIA D</v>
      </c>
      <c r="P148" t="str">
        <f>+VLOOKUP(D148,'DISPOSITIVOS ACTIVOS'!$B$1:$H$299,7,FALSE)</f>
        <v>SALES NORTH</v>
      </c>
      <c r="Q148" t="str">
        <f>IFERROR(+VLOOKUP(D148,'[1]Migracion feb25 Ver to ATT'!$B:$B,1,FALSE), "NO")</f>
        <v>NO</v>
      </c>
      <c r="R148" s="26">
        <f t="shared" si="6"/>
        <v>25</v>
      </c>
    </row>
    <row r="149" spans="1:18" x14ac:dyDescent="0.3">
      <c r="A149" t="s">
        <v>22</v>
      </c>
      <c r="B149">
        <v>25</v>
      </c>
      <c r="C149">
        <v>4</v>
      </c>
      <c r="D149" s="7" t="s">
        <v>81</v>
      </c>
      <c r="E149" s="7" t="s">
        <v>82</v>
      </c>
      <c r="F149" s="7" t="s">
        <v>316</v>
      </c>
      <c r="G149" s="35" t="s">
        <v>317</v>
      </c>
      <c r="H149" s="35"/>
      <c r="I149" s="7" t="s">
        <v>30</v>
      </c>
      <c r="J149" s="35" t="s">
        <v>318</v>
      </c>
      <c r="K149" s="35" t="s">
        <v>319</v>
      </c>
      <c r="L149" s="7" t="s">
        <v>320</v>
      </c>
      <c r="M149">
        <v>-29.86</v>
      </c>
      <c r="N149" s="4" t="e">
        <f>+VLOOKUP(D149,'DISPOSITIVOS ACTIVOS'!B:D,3,FALSE)</f>
        <v>#N/A</v>
      </c>
      <c r="O149" t="e">
        <f>+VLOOKUP(D149,'DISPOSITIVOS ACTIVOS'!B:G,6,FALSE)</f>
        <v>#N/A</v>
      </c>
      <c r="P149" t="e">
        <f>+VLOOKUP(D149,'DISPOSITIVOS ACTIVOS'!$B$1:$H$299,7,FALSE)</f>
        <v>#N/A</v>
      </c>
      <c r="Q149" t="str">
        <f>IFERROR(+VLOOKUP(D149,'[1]Migracion feb25 Ver to ATT'!$B:$B,1,FALSE), "NO")</f>
        <v>NO</v>
      </c>
      <c r="R149" s="26">
        <f>+M149</f>
        <v>-29.86</v>
      </c>
    </row>
    <row r="150" spans="1:18" x14ac:dyDescent="0.3">
      <c r="A150" t="s">
        <v>22</v>
      </c>
      <c r="B150">
        <v>25</v>
      </c>
      <c r="C150">
        <v>4</v>
      </c>
      <c r="D150" s="7" t="s">
        <v>83</v>
      </c>
      <c r="E150" s="7" t="s">
        <v>84</v>
      </c>
      <c r="F150" s="7" t="s">
        <v>321</v>
      </c>
      <c r="G150" s="35" t="s">
        <v>322</v>
      </c>
      <c r="H150" s="35"/>
      <c r="I150" s="7" t="s">
        <v>30</v>
      </c>
      <c r="J150" s="35" t="s">
        <v>30</v>
      </c>
      <c r="K150" s="35" t="s">
        <v>323</v>
      </c>
      <c r="L150" s="7" t="s">
        <v>324</v>
      </c>
      <c r="M150">
        <v>-45.67</v>
      </c>
      <c r="N150" s="4" t="e">
        <f>+VLOOKUP(D150,'DISPOSITIVOS ACTIVOS'!B:D,3,FALSE)</f>
        <v>#N/A</v>
      </c>
      <c r="O150" t="e">
        <f>+VLOOKUP(D150,'DISPOSITIVOS ACTIVOS'!B:G,6,FALSE)</f>
        <v>#N/A</v>
      </c>
      <c r="P150" t="e">
        <f>+VLOOKUP(D150,'DISPOSITIVOS ACTIVOS'!$B$1:$H$299,7,FALSE)</f>
        <v>#N/A</v>
      </c>
      <c r="Q150" t="str">
        <f>IFERROR(+VLOOKUP(D150,'[1]Migracion feb25 Ver to ATT'!$B:$B,1,FALSE), "NO")</f>
        <v>NO</v>
      </c>
      <c r="R150" s="26">
        <f>+M150</f>
        <v>-45.67</v>
      </c>
    </row>
    <row r="151" spans="1:18" x14ac:dyDescent="0.3">
      <c r="A151" t="s">
        <v>22</v>
      </c>
      <c r="B151">
        <v>25</v>
      </c>
      <c r="C151">
        <v>4</v>
      </c>
      <c r="D151" s="7" t="s">
        <v>85</v>
      </c>
      <c r="E151" s="7" t="s">
        <v>86</v>
      </c>
      <c r="F151" s="7" t="s">
        <v>325</v>
      </c>
      <c r="G151" s="7" t="s">
        <v>286</v>
      </c>
      <c r="H151" s="35"/>
      <c r="I151" s="35" t="s">
        <v>287</v>
      </c>
      <c r="J151" s="35" t="s">
        <v>30</v>
      </c>
      <c r="K151" s="35" t="s">
        <v>289</v>
      </c>
      <c r="L151" s="7" t="s">
        <v>326</v>
      </c>
      <c r="M151" s="41">
        <v>30.3</v>
      </c>
      <c r="N151" t="str">
        <f>+VLOOKUP(D151,'DISPOSITIVOS ACTIVOS'!B:D,3,FALSE)</f>
        <v>no aplica</v>
      </c>
      <c r="O151" t="str">
        <f>+VLOOKUP(D151,'DISPOSITIVOS ACTIVOS'!B:G,6,FALSE)</f>
        <v>DANIEL GARCIA</v>
      </c>
      <c r="P151" t="str">
        <f>+VLOOKUP(D151,'DISPOSITIVOS ACTIVOS'!$B$1:$H$299,7,FALSE)</f>
        <v>ATLANTA</v>
      </c>
      <c r="Q151" t="str">
        <f>IFERROR(+VLOOKUP(D151,'[1]Migracion feb25 Ver to ATT'!$B:$B,1,FALSE), "NO")</f>
        <v>NO</v>
      </c>
      <c r="R151" s="26">
        <f t="shared" si="6"/>
        <v>25</v>
      </c>
    </row>
    <row r="152" spans="1:18" x14ac:dyDescent="0.3">
      <c r="A152" t="s">
        <v>22</v>
      </c>
      <c r="B152">
        <v>25</v>
      </c>
      <c r="C152">
        <v>4</v>
      </c>
      <c r="D152" s="7" t="s">
        <v>87</v>
      </c>
      <c r="E152" s="7" t="s">
        <v>88</v>
      </c>
      <c r="F152" s="7" t="s">
        <v>327</v>
      </c>
      <c r="G152" s="35" t="s">
        <v>286</v>
      </c>
      <c r="H152" s="35"/>
      <c r="I152" s="7" t="s">
        <v>287</v>
      </c>
      <c r="J152" s="35" t="s">
        <v>30</v>
      </c>
      <c r="K152" s="35" t="s">
        <v>289</v>
      </c>
      <c r="L152" s="7" t="s">
        <v>326</v>
      </c>
      <c r="M152" s="41">
        <v>30.3</v>
      </c>
      <c r="N152" t="str">
        <f>+VLOOKUP(D152,'DISPOSITIVOS ACTIVOS'!B:D,3,FALSE)</f>
        <v>no aplica</v>
      </c>
      <c r="O152" t="str">
        <f>+VLOOKUP(D152,'DISPOSITIVOS ACTIVOS'!B:G,6,FALSE)</f>
        <v>OSCAR BARRAGAN</v>
      </c>
      <c r="P152" t="str">
        <f>+VLOOKUP(D152,'DISPOSITIVOS ACTIVOS'!$B$1:$H$299,7,FALSE)</f>
        <v>ATLANTA</v>
      </c>
      <c r="Q152" t="str">
        <f>IFERROR(+VLOOKUP(D152,'[1]Migracion feb25 Ver to ATT'!$B:$B,1,FALSE), "NO")</f>
        <v>NO</v>
      </c>
      <c r="R152" s="26">
        <f t="shared" si="6"/>
        <v>25</v>
      </c>
    </row>
    <row r="153" spans="1:18" x14ac:dyDescent="0.3">
      <c r="A153" t="s">
        <v>22</v>
      </c>
      <c r="B153">
        <v>25</v>
      </c>
      <c r="C153">
        <v>4</v>
      </c>
      <c r="D153" s="7" t="s">
        <v>89</v>
      </c>
      <c r="E153" s="7" t="s">
        <v>90</v>
      </c>
      <c r="F153" s="7" t="s">
        <v>328</v>
      </c>
      <c r="G153" s="35" t="s">
        <v>317</v>
      </c>
      <c r="H153" s="35"/>
      <c r="I153" s="7" t="s">
        <v>30</v>
      </c>
      <c r="J153" s="35" t="s">
        <v>30</v>
      </c>
      <c r="K153" s="35" t="s">
        <v>329</v>
      </c>
      <c r="L153" s="7" t="s">
        <v>330</v>
      </c>
      <c r="M153">
        <v>-35.93</v>
      </c>
      <c r="N153" s="4" t="e">
        <f>+VLOOKUP(D153,'DISPOSITIVOS ACTIVOS'!B:D,3,FALSE)</f>
        <v>#N/A</v>
      </c>
      <c r="O153" t="e">
        <f>+VLOOKUP(D153,'DISPOSITIVOS ACTIVOS'!B:G,6,FALSE)</f>
        <v>#N/A</v>
      </c>
      <c r="P153" t="e">
        <f>+VLOOKUP(D153,'DISPOSITIVOS ACTIVOS'!$B$1:$H$299,7,FALSE)</f>
        <v>#N/A</v>
      </c>
      <c r="Q153" t="str">
        <f>IFERROR(+VLOOKUP(D153,'[1]Migracion feb25 Ver to ATT'!$B:$B,1,FALSE), "NO")</f>
        <v>NO</v>
      </c>
      <c r="R153" s="26">
        <f>+M153</f>
        <v>-35.93</v>
      </c>
    </row>
    <row r="154" spans="1:18" x14ac:dyDescent="0.3">
      <c r="A154" t="s">
        <v>22</v>
      </c>
      <c r="B154">
        <v>25</v>
      </c>
      <c r="C154">
        <v>4</v>
      </c>
      <c r="D154" s="7" t="s">
        <v>91</v>
      </c>
      <c r="E154" s="7" t="s">
        <v>92</v>
      </c>
      <c r="F154" s="7" t="s">
        <v>331</v>
      </c>
      <c r="G154" s="7" t="s">
        <v>332</v>
      </c>
      <c r="H154" s="35"/>
      <c r="I154" s="35" t="s">
        <v>297</v>
      </c>
      <c r="J154" s="35" t="s">
        <v>30</v>
      </c>
      <c r="K154" s="35" t="s">
        <v>264</v>
      </c>
      <c r="L154" s="7" t="s">
        <v>30</v>
      </c>
      <c r="M154">
        <v>3.75</v>
      </c>
      <c r="N154" t="str">
        <f>+VLOOKUP(D154,'DISPOSITIVOS ACTIVOS'!B:D,3,FALSE)</f>
        <v>Ipad</v>
      </c>
      <c r="O154" t="str">
        <f>+VLOOKUP(D154,'DISPOSITIVOS ACTIVOS'!B:G,6,FALSE)</f>
        <v>VILLAVICENCIO, ARTURO J</v>
      </c>
      <c r="P154" t="str">
        <f>+VLOOKUP(D154,'DISPOSITIVOS ACTIVOS'!$B$1:$H$299,7,FALSE)</f>
        <v>SALES WEST</v>
      </c>
      <c r="Q154" t="str">
        <f>IFERROR(+VLOOKUP(D154,'[1]Migracion feb25 Ver to ATT'!$B:$B,1,FALSE), "NO")</f>
        <v>NO</v>
      </c>
      <c r="R154" s="26">
        <f t="shared" si="6"/>
        <v>25</v>
      </c>
    </row>
    <row r="155" spans="1:18" x14ac:dyDescent="0.3">
      <c r="A155" t="s">
        <v>22</v>
      </c>
      <c r="B155">
        <v>25</v>
      </c>
      <c r="C155">
        <v>4</v>
      </c>
      <c r="D155" s="7" t="s">
        <v>93</v>
      </c>
      <c r="E155" s="7" t="s">
        <v>94</v>
      </c>
      <c r="F155" s="7" t="s">
        <v>333</v>
      </c>
      <c r="G155" s="35" t="s">
        <v>286</v>
      </c>
      <c r="H155" s="35"/>
      <c r="I155" s="7" t="s">
        <v>287</v>
      </c>
      <c r="J155" s="35" t="s">
        <v>30</v>
      </c>
      <c r="K155" s="35" t="s">
        <v>292</v>
      </c>
      <c r="L155" s="7" t="s">
        <v>293</v>
      </c>
      <c r="M155" s="41">
        <v>31.7</v>
      </c>
      <c r="N155" t="str">
        <f>+VLOOKUP(D155,'DISPOSITIVOS ACTIVOS'!B:D,3,FALSE)</f>
        <v>Iphone</v>
      </c>
      <c r="O155" t="str">
        <f>+VLOOKUP(D155,'DISPOSITIVOS ACTIVOS'!B:G,6,FALSE)</f>
        <v>VILLAVICENCIO, ARTURO J</v>
      </c>
      <c r="P155" t="str">
        <f>+VLOOKUP(D155,'DISPOSITIVOS ACTIVOS'!$B$1:$H$299,7,FALSE)</f>
        <v>SALES WEST</v>
      </c>
      <c r="Q155" t="str">
        <f>IFERROR(+VLOOKUP(D155,'[1]Migracion feb25 Ver to ATT'!$B:$B,1,FALSE), "NO")</f>
        <v>501-773-3763</v>
      </c>
      <c r="R155" s="26">
        <f t="shared" si="6"/>
        <v>15</v>
      </c>
    </row>
    <row r="156" spans="1:18" x14ac:dyDescent="0.3">
      <c r="A156" t="s">
        <v>22</v>
      </c>
      <c r="B156">
        <v>25</v>
      </c>
      <c r="C156">
        <v>4</v>
      </c>
      <c r="D156" s="7" t="s">
        <v>95</v>
      </c>
      <c r="E156" s="7" t="s">
        <v>96</v>
      </c>
      <c r="F156" s="7" t="s">
        <v>334</v>
      </c>
      <c r="G156" s="35" t="s">
        <v>335</v>
      </c>
      <c r="H156" s="35"/>
      <c r="I156" s="7" t="s">
        <v>287</v>
      </c>
      <c r="J156" s="35" t="s">
        <v>30</v>
      </c>
      <c r="K156" s="35" t="s">
        <v>336</v>
      </c>
      <c r="L156" s="7" t="s">
        <v>337</v>
      </c>
      <c r="M156">
        <v>12.52</v>
      </c>
      <c r="N156">
        <f>+VLOOKUP(D156,'DISPOSITIVOS ACTIVOS'!B:D,3,FALSE)</f>
        <v>0</v>
      </c>
      <c r="O156" t="str">
        <f>+VLOOKUP(D156,'DISPOSITIVOS ACTIVOS'!B:G,6,FALSE)</f>
        <v xml:space="preserve">Backup  </v>
      </c>
      <c r="P156" t="str">
        <f>+VLOOKUP(D156,'DISPOSITIVOS ACTIVOS'!$B$1:$H$299,7,FALSE)</f>
        <v>SALES CENTRAL</v>
      </c>
      <c r="Q156" t="str">
        <f>IFERROR(+VLOOKUP(D156,'[1]Migracion feb25 Ver to ATT'!$B:$B,1,FALSE), "NO")</f>
        <v>502-341-1558</v>
      </c>
      <c r="R156" s="26">
        <f t="shared" si="6"/>
        <v>15</v>
      </c>
    </row>
    <row r="157" spans="1:18" x14ac:dyDescent="0.3">
      <c r="A157" t="s">
        <v>22</v>
      </c>
      <c r="B157">
        <v>25</v>
      </c>
      <c r="C157">
        <v>4</v>
      </c>
      <c r="D157" s="7" t="s">
        <v>97</v>
      </c>
      <c r="E157" s="7" t="s">
        <v>98</v>
      </c>
      <c r="F157" s="7" t="s">
        <v>338</v>
      </c>
      <c r="G157" s="7" t="s">
        <v>30</v>
      </c>
      <c r="H157" s="35"/>
      <c r="I157" s="35" t="s">
        <v>304</v>
      </c>
      <c r="J157" s="35" t="s">
        <v>30</v>
      </c>
      <c r="K157" s="35" t="s">
        <v>339</v>
      </c>
      <c r="L157" s="7" t="s">
        <v>340</v>
      </c>
      <c r="M157" s="41">
        <v>32.64</v>
      </c>
      <c r="N157" t="str">
        <f>+VLOOKUP(D157,'DISPOSITIVOS ACTIVOS'!B:D,3,FALSE)</f>
        <v xml:space="preserve">Galaxy </v>
      </c>
      <c r="O157" t="str">
        <f>+VLOOKUP(D157,'DISPOSITIVOS ACTIVOS'!B:G,6,FALSE)</f>
        <v>MOJICA, FRANCISCO JAVIER</v>
      </c>
      <c r="P157" t="str">
        <f>+VLOOKUP(D157,'DISPOSITIVOS ACTIVOS'!$B$1:$H$299,7,FALSE)</f>
        <v>LOGISTICS CENTRAL</v>
      </c>
      <c r="Q157" t="str">
        <f>IFERROR(+VLOOKUP(D157,'[1]Migracion feb25 Ver to ATT'!$B:$B,1,FALSE), "NO")</f>
        <v>502-558-5770</v>
      </c>
      <c r="R157" s="26">
        <f t="shared" si="6"/>
        <v>15</v>
      </c>
    </row>
    <row r="158" spans="1:18" x14ac:dyDescent="0.3">
      <c r="A158" t="s">
        <v>22</v>
      </c>
      <c r="B158">
        <v>25</v>
      </c>
      <c r="C158">
        <v>4</v>
      </c>
      <c r="D158" s="7" t="s">
        <v>99</v>
      </c>
      <c r="E158" s="7" t="s">
        <v>100</v>
      </c>
      <c r="F158" s="7" t="s">
        <v>341</v>
      </c>
      <c r="G158" s="35" t="s">
        <v>286</v>
      </c>
      <c r="H158" s="35"/>
      <c r="I158" s="7" t="s">
        <v>287</v>
      </c>
      <c r="J158" s="35" t="s">
        <v>30</v>
      </c>
      <c r="K158" s="35" t="s">
        <v>292</v>
      </c>
      <c r="L158" s="7" t="s">
        <v>293</v>
      </c>
      <c r="M158" s="41">
        <v>31.7</v>
      </c>
      <c r="N158" t="str">
        <f>+VLOOKUP(D158,'DISPOSITIVOS ACTIVOS'!B:D,3,FALSE)</f>
        <v>Iphone</v>
      </c>
      <c r="O158" t="str">
        <f>+VLOOKUP(D158,'DISPOSITIVOS ACTIVOS'!B:G,6,FALSE)</f>
        <v>ARMES, CLAUDIA</v>
      </c>
      <c r="P158" t="str">
        <f>+VLOOKUP(D158,'DISPOSITIVOS ACTIVOS'!$B$1:$H$299,7,FALSE)</f>
        <v>SALES NORTH</v>
      </c>
      <c r="Q158" t="str">
        <f>IFERROR(+VLOOKUP(D158,'[1]Migracion feb25 Ver to ATT'!$B:$B,1,FALSE), "NO")</f>
        <v>502-974-3915</v>
      </c>
      <c r="R158" s="26">
        <f t="shared" si="6"/>
        <v>15</v>
      </c>
    </row>
    <row r="159" spans="1:18" x14ac:dyDescent="0.3">
      <c r="A159" t="s">
        <v>22</v>
      </c>
      <c r="B159">
        <v>25</v>
      </c>
      <c r="C159">
        <v>4</v>
      </c>
      <c r="D159" s="7" t="s">
        <v>101</v>
      </c>
      <c r="E159" s="7" t="s">
        <v>102</v>
      </c>
      <c r="F159" s="7" t="s">
        <v>342</v>
      </c>
      <c r="G159" s="35" t="s">
        <v>286</v>
      </c>
      <c r="H159" s="35"/>
      <c r="I159" s="7" t="s">
        <v>287</v>
      </c>
      <c r="J159" s="35" t="s">
        <v>30</v>
      </c>
      <c r="K159" s="35" t="s">
        <v>292</v>
      </c>
      <c r="L159" s="7" t="s">
        <v>293</v>
      </c>
      <c r="M159" s="41">
        <v>31.7</v>
      </c>
      <c r="N159" t="str">
        <f>+VLOOKUP(D159,'DISPOSITIVOS ACTIVOS'!B:D,3,FALSE)</f>
        <v>Iphone</v>
      </c>
      <c r="O159" t="str">
        <f>+VLOOKUP(D159,'DISPOSITIVOS ACTIVOS'!B:G,6,FALSE)</f>
        <v>CORDERO, IRIS</v>
      </c>
      <c r="P159" t="str">
        <f>+VLOOKUP(D159,'DISPOSITIVOS ACTIVOS'!$B$1:$H$299,7,FALSE)</f>
        <v>SALES NORTH</v>
      </c>
      <c r="Q159" t="str">
        <f>IFERROR(+VLOOKUP(D159,'[1]Migracion feb25 Ver to ATT'!$B:$B,1,FALSE), "NO")</f>
        <v>513-675-0865</v>
      </c>
      <c r="R159" s="26">
        <f t="shared" si="6"/>
        <v>15</v>
      </c>
    </row>
    <row r="160" spans="1:18" x14ac:dyDescent="0.3">
      <c r="A160" t="s">
        <v>22</v>
      </c>
      <c r="B160">
        <v>25</v>
      </c>
      <c r="C160">
        <v>4</v>
      </c>
      <c r="D160" s="7" t="s">
        <v>103</v>
      </c>
      <c r="E160" s="7" t="s">
        <v>104</v>
      </c>
      <c r="F160" s="7" t="s">
        <v>343</v>
      </c>
      <c r="G160" s="7" t="s">
        <v>286</v>
      </c>
      <c r="H160" s="35"/>
      <c r="I160" s="35" t="s">
        <v>287</v>
      </c>
      <c r="J160" s="35" t="s">
        <v>288</v>
      </c>
      <c r="K160" s="35" t="s">
        <v>344</v>
      </c>
      <c r="L160" s="7" t="s">
        <v>345</v>
      </c>
      <c r="M160" s="41">
        <v>34.21</v>
      </c>
      <c r="N160" t="str">
        <f>+VLOOKUP(D160,'DISPOSITIVOS ACTIVOS'!B:D,3,FALSE)</f>
        <v>Iphone</v>
      </c>
      <c r="O160" t="str">
        <f>+VLOOKUP(D160,'DISPOSITIVOS ACTIVOS'!B:G,6,FALSE)</f>
        <v>ALVAREZ PALOMARES M, PAULA MAYREN</v>
      </c>
      <c r="P160" t="str">
        <f>+VLOOKUP(D160,'DISPOSITIVOS ACTIVOS'!$B$1:$H$299,7,FALSE)</f>
        <v>MERCHANDISER NORTH</v>
      </c>
      <c r="Q160" t="str">
        <f>IFERROR(+VLOOKUP(D160,'[1]Migracion feb25 Ver to ATT'!$B:$B,1,FALSE), "NO")</f>
        <v>NO</v>
      </c>
      <c r="R160" s="26">
        <f t="shared" si="6"/>
        <v>25</v>
      </c>
    </row>
    <row r="161" spans="1:18" x14ac:dyDescent="0.3">
      <c r="A161" t="s">
        <v>22</v>
      </c>
      <c r="B161">
        <v>25</v>
      </c>
      <c r="C161">
        <v>4</v>
      </c>
      <c r="D161" s="7" t="s">
        <v>105</v>
      </c>
      <c r="E161" s="7" t="s">
        <v>106</v>
      </c>
      <c r="F161" s="7" t="s">
        <v>346</v>
      </c>
      <c r="G161" s="35" t="s">
        <v>286</v>
      </c>
      <c r="H161" s="35"/>
      <c r="I161" s="7" t="s">
        <v>287</v>
      </c>
      <c r="J161" s="35" t="s">
        <v>30</v>
      </c>
      <c r="K161" s="35" t="s">
        <v>292</v>
      </c>
      <c r="L161" s="7" t="s">
        <v>293</v>
      </c>
      <c r="M161" s="41">
        <v>31.7</v>
      </c>
      <c r="N161" t="str">
        <f>+VLOOKUP(D161,'DISPOSITIVOS ACTIVOS'!B:D,3,FALSE)</f>
        <v>Iphone</v>
      </c>
      <c r="O161" t="str">
        <f>+VLOOKUP(D161,'DISPOSITIVOS ACTIVOS'!B:G,6,FALSE)</f>
        <v>LACRUZ, ROSMARY</v>
      </c>
      <c r="P161" t="str">
        <f>+VLOOKUP(D161,'DISPOSITIVOS ACTIVOS'!$B$1:$H$299,7,FALSE)</f>
        <v>SALES WEST</v>
      </c>
      <c r="Q161" t="str">
        <f>IFERROR(+VLOOKUP(D161,'[1]Migracion feb25 Ver to ATT'!$B:$B,1,FALSE), "NO")</f>
        <v>601-910-8492</v>
      </c>
      <c r="R161" s="26">
        <f t="shared" si="6"/>
        <v>15</v>
      </c>
    </row>
    <row r="162" spans="1:18" x14ac:dyDescent="0.3">
      <c r="A162" t="s">
        <v>22</v>
      </c>
      <c r="B162">
        <v>25</v>
      </c>
      <c r="C162">
        <v>4</v>
      </c>
      <c r="D162" s="7" t="s">
        <v>107</v>
      </c>
      <c r="E162" s="7" t="s">
        <v>108</v>
      </c>
      <c r="F162" s="7" t="s">
        <v>347</v>
      </c>
      <c r="G162" s="35" t="s">
        <v>286</v>
      </c>
      <c r="H162" s="35"/>
      <c r="I162" s="7" t="s">
        <v>287</v>
      </c>
      <c r="J162" s="35" t="s">
        <v>30</v>
      </c>
      <c r="K162" s="35" t="s">
        <v>292</v>
      </c>
      <c r="L162" s="7" t="s">
        <v>293</v>
      </c>
      <c r="M162" s="41">
        <v>31.7</v>
      </c>
      <c r="N162" t="str">
        <f>+VLOOKUP(D162,'DISPOSITIVOS ACTIVOS'!B:D,3,FALSE)</f>
        <v>Iphone</v>
      </c>
      <c r="O162" t="str">
        <f>+VLOOKUP(D162,'DISPOSITIVOS ACTIVOS'!B:G,6,FALSE)</f>
        <v>CABRERA, OSMAN A</v>
      </c>
      <c r="P162" t="str">
        <f>+VLOOKUP(D162,'DISPOSITIVOS ACTIVOS'!$B$1:$H$299,7,FALSE)</f>
        <v>SALES CENTRAL</v>
      </c>
      <c r="Q162" t="str">
        <f>IFERROR(+VLOOKUP(D162,'[1]Migracion feb25 Ver to ATT'!$B:$B,1,FALSE), "NO")</f>
        <v>615-207-2464</v>
      </c>
      <c r="R162" s="26">
        <f t="shared" si="6"/>
        <v>15</v>
      </c>
    </row>
    <row r="163" spans="1:18" x14ac:dyDescent="0.3">
      <c r="A163" t="s">
        <v>22</v>
      </c>
      <c r="B163">
        <v>25</v>
      </c>
      <c r="C163">
        <v>4</v>
      </c>
      <c r="D163" s="7" t="s">
        <v>109</v>
      </c>
      <c r="E163" s="7" t="s">
        <v>110</v>
      </c>
      <c r="F163" s="7" t="s">
        <v>348</v>
      </c>
      <c r="G163" s="7" t="s">
        <v>30</v>
      </c>
      <c r="H163" s="35"/>
      <c r="I163" s="35" t="s">
        <v>304</v>
      </c>
      <c r="J163" s="35" t="s">
        <v>30</v>
      </c>
      <c r="K163" s="35" t="s">
        <v>349</v>
      </c>
      <c r="L163" s="7" t="s">
        <v>350</v>
      </c>
      <c r="M163" s="41">
        <v>33.799999999999997</v>
      </c>
      <c r="N163" t="str">
        <f>+VLOOKUP(D163,'DISPOSITIVOS ACTIVOS'!B:D,3,FALSE)</f>
        <v>Galaxy</v>
      </c>
      <c r="O163" t="str">
        <f>+VLOOKUP(D163,'DISPOSITIVOS ACTIVOS'!B:G,6,FALSE)</f>
        <v>DE LOS SANTOS, LUIS</v>
      </c>
      <c r="P163" t="str">
        <f>+VLOOKUP(D163,'DISPOSITIVOS ACTIVOS'!$B$1:$H$299,7,FALSE)</f>
        <v>LOGISTIC SOUTH</v>
      </c>
      <c r="Q163" t="str">
        <f>IFERROR(+VLOOKUP(D163,'[1]Migracion feb25 Ver to ATT'!$B:$B,1,FALSE), "NO")</f>
        <v>615-299-3640</v>
      </c>
      <c r="R163" s="26">
        <f t="shared" si="6"/>
        <v>15</v>
      </c>
    </row>
    <row r="164" spans="1:18" x14ac:dyDescent="0.3">
      <c r="A164" t="s">
        <v>22</v>
      </c>
      <c r="B164">
        <v>25</v>
      </c>
      <c r="C164">
        <v>4</v>
      </c>
      <c r="D164" s="7" t="s">
        <v>111</v>
      </c>
      <c r="E164" s="7" t="s">
        <v>112</v>
      </c>
      <c r="F164" s="7" t="s">
        <v>351</v>
      </c>
      <c r="G164" s="35" t="s">
        <v>352</v>
      </c>
      <c r="H164" s="35"/>
      <c r="I164" s="7" t="s">
        <v>287</v>
      </c>
      <c r="J164" s="35" t="s">
        <v>30</v>
      </c>
      <c r="K164" s="35" t="s">
        <v>289</v>
      </c>
      <c r="L164" s="7" t="s">
        <v>308</v>
      </c>
      <c r="M164">
        <v>22.96</v>
      </c>
      <c r="N164" t="str">
        <f>+VLOOKUP(D164,'DISPOSITIVOS ACTIVOS'!B:D,3,FALSE)</f>
        <v>Motorola</v>
      </c>
      <c r="O164" t="str">
        <f>+VLOOKUP(D164,'DISPOSITIVOS ACTIVOS'!B:G,6,FALSE)</f>
        <v>FERNANDEZ, EDGAR</v>
      </c>
      <c r="P164" t="str">
        <f>+VLOOKUP(D164,'DISPOSITIVOS ACTIVOS'!$B$1:$H$299,7,FALSE)</f>
        <v>LOGISTICS CENTRAL</v>
      </c>
      <c r="Q164" t="str">
        <f>IFERROR(+VLOOKUP(D164,'[1]Migracion feb25 Ver to ATT'!$B:$B,1,FALSE), "NO")</f>
        <v>NO</v>
      </c>
      <c r="R164" s="26">
        <f t="shared" si="6"/>
        <v>25</v>
      </c>
    </row>
    <row r="165" spans="1:18" x14ac:dyDescent="0.3">
      <c r="A165" t="s">
        <v>22</v>
      </c>
      <c r="B165">
        <v>25</v>
      </c>
      <c r="C165">
        <v>4</v>
      </c>
      <c r="D165" s="7" t="s">
        <v>113</v>
      </c>
      <c r="E165" s="7" t="s">
        <v>29</v>
      </c>
      <c r="F165" s="7" t="s">
        <v>353</v>
      </c>
      <c r="G165" s="35" t="s">
        <v>354</v>
      </c>
      <c r="H165" s="35"/>
      <c r="I165" s="7" t="s">
        <v>355</v>
      </c>
      <c r="J165" s="35" t="s">
        <v>30</v>
      </c>
      <c r="K165" s="35" t="s">
        <v>30</v>
      </c>
      <c r="L165" s="7" t="s">
        <v>30</v>
      </c>
      <c r="M165">
        <v>-8.5</v>
      </c>
      <c r="N165" s="4" t="e">
        <f>+VLOOKUP(D165,'DISPOSITIVOS ACTIVOS'!B:D,3,FALSE)</f>
        <v>#N/A</v>
      </c>
      <c r="O165" t="e">
        <f>+VLOOKUP(D165,'DISPOSITIVOS ACTIVOS'!B:G,6,FALSE)</f>
        <v>#N/A</v>
      </c>
      <c r="P165" t="e">
        <f>+VLOOKUP(D165,'DISPOSITIVOS ACTIVOS'!$B$1:$H$299,7,FALSE)</f>
        <v>#N/A</v>
      </c>
      <c r="Q165" t="str">
        <f>IFERROR(+VLOOKUP(D165,'[1]Migracion feb25 Ver to ATT'!$B:$B,1,FALSE), "NO")</f>
        <v>NO</v>
      </c>
      <c r="R165" s="26">
        <f>+M165</f>
        <v>-8.5</v>
      </c>
    </row>
    <row r="166" spans="1:18" x14ac:dyDescent="0.3">
      <c r="A166" t="s">
        <v>22</v>
      </c>
      <c r="B166">
        <v>25</v>
      </c>
      <c r="C166">
        <v>4</v>
      </c>
      <c r="D166" s="7" t="s">
        <v>115</v>
      </c>
      <c r="E166" s="7" t="s">
        <v>116</v>
      </c>
      <c r="F166" s="7" t="s">
        <v>356</v>
      </c>
      <c r="G166" s="7" t="s">
        <v>30</v>
      </c>
      <c r="H166" s="35"/>
      <c r="I166" s="35" t="s">
        <v>297</v>
      </c>
      <c r="J166" s="35" t="s">
        <v>30</v>
      </c>
      <c r="K166" s="35" t="s">
        <v>264</v>
      </c>
      <c r="L166" s="7" t="s">
        <v>30</v>
      </c>
      <c r="M166">
        <v>18.75</v>
      </c>
      <c r="N166" t="str">
        <f>+VLOOKUP(D166,'DISPOSITIVOS ACTIVOS'!B:D,3,FALSE)</f>
        <v>Ipad</v>
      </c>
      <c r="O166" t="str">
        <f>+VLOOKUP(D166,'DISPOSITIVOS ACTIVOS'!B:G,6,FALSE)</f>
        <v>CARDOZO, ALBERT YVAN</v>
      </c>
      <c r="P166" t="str">
        <f>+VLOOKUP(D166,'DISPOSITIVOS ACTIVOS'!$B$1:$H$299,7,FALSE)</f>
        <v>SALES RITEFILL DSD CENTRAL</v>
      </c>
      <c r="Q166" t="str">
        <f>IFERROR(+VLOOKUP(D166,'[1]Migracion feb25 Ver to ATT'!$B:$B,1,FALSE), "NO")</f>
        <v>615-310-9970</v>
      </c>
      <c r="R166" s="26">
        <f t="shared" si="6"/>
        <v>15</v>
      </c>
    </row>
    <row r="167" spans="1:18" x14ac:dyDescent="0.3">
      <c r="A167" t="s">
        <v>22</v>
      </c>
      <c r="B167">
        <v>25</v>
      </c>
      <c r="C167">
        <v>4</v>
      </c>
      <c r="D167" s="7" t="s">
        <v>117</v>
      </c>
      <c r="E167" s="7" t="s">
        <v>118</v>
      </c>
      <c r="F167" s="7" t="s">
        <v>357</v>
      </c>
      <c r="G167" s="35" t="s">
        <v>286</v>
      </c>
      <c r="H167" s="35"/>
      <c r="I167" s="7" t="s">
        <v>287</v>
      </c>
      <c r="J167" s="35" t="s">
        <v>304</v>
      </c>
      <c r="K167" s="35" t="s">
        <v>289</v>
      </c>
      <c r="L167" s="7" t="s">
        <v>308</v>
      </c>
      <c r="M167" s="41">
        <v>55.41</v>
      </c>
      <c r="N167" t="str">
        <f>+VLOOKUP(D167,'DISPOSITIVOS ACTIVOS'!B:D,3,FALSE)</f>
        <v>Iphone</v>
      </c>
      <c r="O167" t="str">
        <f>+VLOOKUP(D167,'DISPOSITIVOS ACTIVOS'!B:G,6,FALSE)</f>
        <v>DUQUE IYENGAR, DANIELA</v>
      </c>
      <c r="P167" t="str">
        <f>+VLOOKUP(D167,'DISPOSITIVOS ACTIVOS'!$B$1:$H$299,7,FALSE)</f>
        <v>HR</v>
      </c>
      <c r="Q167" t="str">
        <f>IFERROR(+VLOOKUP(D167,'[1]Migracion feb25 Ver to ATT'!$B:$B,1,FALSE), "NO")</f>
        <v>NO</v>
      </c>
      <c r="R167" s="26">
        <f t="shared" si="6"/>
        <v>25</v>
      </c>
    </row>
    <row r="168" spans="1:18" x14ac:dyDescent="0.3">
      <c r="A168" t="s">
        <v>22</v>
      </c>
      <c r="B168">
        <v>25</v>
      </c>
      <c r="C168">
        <v>4</v>
      </c>
      <c r="D168" s="7" t="s">
        <v>119</v>
      </c>
      <c r="E168" s="7" t="s">
        <v>120</v>
      </c>
      <c r="F168" s="7" t="s">
        <v>358</v>
      </c>
      <c r="G168" s="35" t="s">
        <v>286</v>
      </c>
      <c r="H168" s="35"/>
      <c r="I168" s="7" t="s">
        <v>287</v>
      </c>
      <c r="J168" s="35" t="s">
        <v>30</v>
      </c>
      <c r="K168" s="35" t="s">
        <v>289</v>
      </c>
      <c r="L168" s="7" t="s">
        <v>308</v>
      </c>
      <c r="M168" s="41">
        <v>30.41</v>
      </c>
      <c r="N168" t="str">
        <f>+VLOOKUP(D168,'DISPOSITIVOS ACTIVOS'!B:D,3,FALSE)</f>
        <v>Galaxy</v>
      </c>
      <c r="O168" t="str">
        <f>+VLOOKUP(D168,'DISPOSITIVOS ACTIVOS'!B:G,6,FALSE)</f>
        <v>CONDE TORRES, DAVID A</v>
      </c>
      <c r="P168" t="str">
        <f>+VLOOKUP(D168,'DISPOSITIVOS ACTIVOS'!$B$1:$H$299,7,FALSE)</f>
        <v>WAREHOUSE CENTRAL</v>
      </c>
      <c r="Q168" t="str">
        <f>IFERROR(+VLOOKUP(D168,'[1]Migracion feb25 Ver to ATT'!$B:$B,1,FALSE), "NO")</f>
        <v>NO</v>
      </c>
      <c r="R168" s="26">
        <f t="shared" si="6"/>
        <v>25</v>
      </c>
    </row>
    <row r="169" spans="1:18" x14ac:dyDescent="0.3">
      <c r="A169" t="s">
        <v>22</v>
      </c>
      <c r="B169">
        <v>25</v>
      </c>
      <c r="C169">
        <v>4</v>
      </c>
      <c r="D169" s="7" t="s">
        <v>121</v>
      </c>
      <c r="E169" s="7" t="s">
        <v>122</v>
      </c>
      <c r="F169" s="7" t="s">
        <v>359</v>
      </c>
      <c r="G169" s="7" t="s">
        <v>286</v>
      </c>
      <c r="H169" s="35"/>
      <c r="I169" s="35" t="s">
        <v>287</v>
      </c>
      <c r="J169" s="35" t="s">
        <v>30</v>
      </c>
      <c r="K169" s="35" t="s">
        <v>292</v>
      </c>
      <c r="L169" s="7" t="s">
        <v>293</v>
      </c>
      <c r="M169" s="41">
        <v>31.7</v>
      </c>
      <c r="N169" t="str">
        <f>+VLOOKUP(D169,'DISPOSITIVOS ACTIVOS'!B:D,3,FALSE)</f>
        <v>Iphone</v>
      </c>
      <c r="O169" t="str">
        <f>+VLOOKUP(D169,'DISPOSITIVOS ACTIVOS'!B:G,6,FALSE)</f>
        <v>ESQUIVEL, HENRY</v>
      </c>
      <c r="P169" t="str">
        <f>+VLOOKUP(D169,'DISPOSITIVOS ACTIVOS'!$B$1:$H$299,7,FALSE)</f>
        <v>WAREHOUSE CENTRAL</v>
      </c>
      <c r="Q169" t="str">
        <f>IFERROR(+VLOOKUP(D169,'[1]Migracion feb25 Ver to ATT'!$B:$B,1,FALSE), "NO")</f>
        <v>615-390-4624</v>
      </c>
      <c r="R169" s="26">
        <f t="shared" si="6"/>
        <v>15</v>
      </c>
    </row>
    <row r="170" spans="1:18" x14ac:dyDescent="0.3">
      <c r="A170" t="s">
        <v>22</v>
      </c>
      <c r="B170">
        <v>25</v>
      </c>
      <c r="C170">
        <v>4</v>
      </c>
      <c r="D170" s="7" t="s">
        <v>123</v>
      </c>
      <c r="E170" s="7" t="s">
        <v>124</v>
      </c>
      <c r="F170" s="7" t="s">
        <v>360</v>
      </c>
      <c r="G170" s="35" t="s">
        <v>361</v>
      </c>
      <c r="H170" s="35"/>
      <c r="I170" s="7" t="s">
        <v>287</v>
      </c>
      <c r="J170" s="35" t="s">
        <v>362</v>
      </c>
      <c r="K170" s="35" t="s">
        <v>363</v>
      </c>
      <c r="L170" s="7" t="s">
        <v>364</v>
      </c>
      <c r="M170" s="41">
        <v>191.38</v>
      </c>
      <c r="N170" t="str">
        <f>+VLOOKUP(D170,'DISPOSITIVOS ACTIVOS'!B:D,3,FALSE)</f>
        <v>Iphone</v>
      </c>
      <c r="O170" t="str">
        <f>+VLOOKUP(D170,'DISPOSITIVOS ACTIVOS'!B:G,6,FALSE)</f>
        <v>VILLATORO, MERARI</v>
      </c>
      <c r="P170" t="str">
        <f>+VLOOKUP(D170,'DISPOSITIVOS ACTIVOS'!$B$1:$H$299,7,FALSE)</f>
        <v>VP</v>
      </c>
      <c r="Q170" t="str">
        <f>IFERROR(+VLOOKUP(D170,'[1]Migracion feb25 Ver to ATT'!$B:$B,1,FALSE), "NO")</f>
        <v>NO</v>
      </c>
      <c r="R170" s="26">
        <f t="shared" si="6"/>
        <v>25</v>
      </c>
    </row>
    <row r="171" spans="1:18" x14ac:dyDescent="0.3">
      <c r="A171" t="s">
        <v>22</v>
      </c>
      <c r="B171">
        <v>25</v>
      </c>
      <c r="C171">
        <v>4</v>
      </c>
      <c r="D171" s="7" t="s">
        <v>125</v>
      </c>
      <c r="E171" s="7" t="s">
        <v>126</v>
      </c>
      <c r="F171" s="7" t="s">
        <v>365</v>
      </c>
      <c r="G171" s="35" t="s">
        <v>286</v>
      </c>
      <c r="H171" s="35"/>
      <c r="I171" s="7" t="s">
        <v>287</v>
      </c>
      <c r="J171" s="35" t="s">
        <v>30</v>
      </c>
      <c r="K171" s="35" t="s">
        <v>289</v>
      </c>
      <c r="L171" s="7" t="s">
        <v>308</v>
      </c>
      <c r="M171" s="41">
        <v>30.41</v>
      </c>
      <c r="N171" t="str">
        <f>+VLOOKUP(D171,'DISPOSITIVOS ACTIVOS'!B:D,3,FALSE)</f>
        <v>Iphone</v>
      </c>
      <c r="O171" t="str">
        <f>+VLOOKUP(D171,'DISPOSITIVOS ACTIVOS'!B:G,6,FALSE)</f>
        <v>BARAJAS, JESSICA</v>
      </c>
      <c r="P171" t="str">
        <f>+VLOOKUP(D171,'DISPOSITIVOS ACTIVOS'!$B$1:$H$299,7,FALSE)</f>
        <v>SALES NORTH</v>
      </c>
      <c r="Q171" t="str">
        <f>IFERROR(+VLOOKUP(D171,'[1]Migracion feb25 Ver to ATT'!$B:$B,1,FALSE), "NO")</f>
        <v>NO</v>
      </c>
      <c r="R171" s="26">
        <f t="shared" si="6"/>
        <v>25</v>
      </c>
    </row>
    <row r="172" spans="1:18" x14ac:dyDescent="0.3">
      <c r="A172" t="s">
        <v>22</v>
      </c>
      <c r="B172">
        <v>25</v>
      </c>
      <c r="C172">
        <v>4</v>
      </c>
      <c r="D172" s="7" t="s">
        <v>127</v>
      </c>
      <c r="E172" s="7" t="s">
        <v>128</v>
      </c>
      <c r="F172" s="7" t="s">
        <v>366</v>
      </c>
      <c r="G172" s="7" t="s">
        <v>286</v>
      </c>
      <c r="H172" s="35"/>
      <c r="I172" s="35" t="s">
        <v>287</v>
      </c>
      <c r="J172" s="35" t="s">
        <v>30</v>
      </c>
      <c r="K172" s="35" t="s">
        <v>289</v>
      </c>
      <c r="L172" s="7" t="s">
        <v>308</v>
      </c>
      <c r="M172" s="41">
        <v>30.41</v>
      </c>
      <c r="N172" t="str">
        <f>+VLOOKUP(D172,'DISPOSITIVOS ACTIVOS'!B:D,3,FALSE)</f>
        <v>Iphone</v>
      </c>
      <c r="O172" t="str">
        <f>+VLOOKUP(D172,'DISPOSITIVOS ACTIVOS'!B:G,6,FALSE)</f>
        <v>QUIJANO, NICOLAS</v>
      </c>
      <c r="P172" t="str">
        <f>+VLOOKUP(D172,'DISPOSITIVOS ACTIVOS'!$B$1:$H$299,7,FALSE)</f>
        <v>CFO</v>
      </c>
      <c r="Q172" t="str">
        <f>IFERROR(+VLOOKUP(D172,'[1]Migracion feb25 Ver to ATT'!$B:$B,1,FALSE), "NO")</f>
        <v>NO</v>
      </c>
      <c r="R172" s="26">
        <f t="shared" si="6"/>
        <v>25</v>
      </c>
    </row>
    <row r="173" spans="1:18" x14ac:dyDescent="0.3">
      <c r="A173" t="s">
        <v>22</v>
      </c>
      <c r="B173">
        <v>25</v>
      </c>
      <c r="C173">
        <v>4</v>
      </c>
      <c r="D173" s="7" t="s">
        <v>129</v>
      </c>
      <c r="E173" s="7" t="s">
        <v>130</v>
      </c>
      <c r="F173" s="7" t="s">
        <v>367</v>
      </c>
      <c r="G173" s="35" t="s">
        <v>286</v>
      </c>
      <c r="H173" s="35"/>
      <c r="I173" s="7" t="s">
        <v>287</v>
      </c>
      <c r="J173" s="35" t="s">
        <v>30</v>
      </c>
      <c r="K173" s="35" t="s">
        <v>289</v>
      </c>
      <c r="L173" s="7" t="s">
        <v>308</v>
      </c>
      <c r="M173" s="41">
        <v>30.41</v>
      </c>
      <c r="N173" t="str">
        <f>+VLOOKUP(D173,'DISPOSITIVOS ACTIVOS'!B:D,3,FALSE)</f>
        <v>Iphone</v>
      </c>
      <c r="O173" t="str">
        <f>+VLOOKUP(D173,'DISPOSITIVOS ACTIVOS'!B:G,6,FALSE)</f>
        <v>PATINO, ZEDERICK</v>
      </c>
      <c r="P173" t="str">
        <f>+VLOOKUP(D173,'DISPOSITIVOS ACTIVOS'!$B$1:$H$299,7,FALSE)</f>
        <v>MERCHANDISER CENTRAL</v>
      </c>
      <c r="Q173" t="str">
        <f>IFERROR(+VLOOKUP(D173,'[1]Migracion feb25 Ver to ATT'!$B:$B,1,FALSE), "NO")</f>
        <v>NO</v>
      </c>
      <c r="R173" s="26">
        <f t="shared" si="6"/>
        <v>25</v>
      </c>
    </row>
    <row r="174" spans="1:18" x14ac:dyDescent="0.3">
      <c r="A174" t="s">
        <v>22</v>
      </c>
      <c r="B174">
        <v>25</v>
      </c>
      <c r="C174">
        <v>4</v>
      </c>
      <c r="D174" s="7" t="s">
        <v>131</v>
      </c>
      <c r="E174" s="7" t="s">
        <v>132</v>
      </c>
      <c r="F174" s="7" t="s">
        <v>368</v>
      </c>
      <c r="G174" s="35" t="s">
        <v>286</v>
      </c>
      <c r="H174" s="35"/>
      <c r="I174" s="7" t="s">
        <v>287</v>
      </c>
      <c r="J174" s="35" t="s">
        <v>30</v>
      </c>
      <c r="K174" s="35" t="s">
        <v>292</v>
      </c>
      <c r="L174" s="7" t="s">
        <v>293</v>
      </c>
      <c r="M174" s="41">
        <v>31.7</v>
      </c>
      <c r="N174" t="str">
        <f>+VLOOKUP(D174,'DISPOSITIVOS ACTIVOS'!B:D,3,FALSE)</f>
        <v>Iphone</v>
      </c>
      <c r="O174" t="str">
        <f>+VLOOKUP(D174,'DISPOSITIVOS ACTIVOS'!B:G,6,FALSE)</f>
        <v>CABANZO, DANNY</v>
      </c>
      <c r="P174" t="str">
        <f>+VLOOKUP(D174,'DISPOSITIVOS ACTIVOS'!$B$1:$H$299,7,FALSE)</f>
        <v>SALES CENTRAL</v>
      </c>
      <c r="Q174" t="str">
        <f>IFERROR(+VLOOKUP(D174,'[1]Migracion feb25 Ver to ATT'!$B:$B,1,FALSE), "NO")</f>
        <v>615-456-2536</v>
      </c>
      <c r="R174" s="26">
        <f t="shared" si="6"/>
        <v>15</v>
      </c>
    </row>
    <row r="175" spans="1:18" x14ac:dyDescent="0.3">
      <c r="A175" t="s">
        <v>22</v>
      </c>
      <c r="B175">
        <v>25</v>
      </c>
      <c r="C175">
        <v>4</v>
      </c>
      <c r="D175" s="7" t="s">
        <v>133</v>
      </c>
      <c r="E175" s="7" t="s">
        <v>134</v>
      </c>
      <c r="F175" s="7" t="s">
        <v>369</v>
      </c>
      <c r="G175" s="7" t="s">
        <v>322</v>
      </c>
      <c r="H175" s="35"/>
      <c r="I175" s="35" t="s">
        <v>30</v>
      </c>
      <c r="J175" s="35" t="s">
        <v>30</v>
      </c>
      <c r="K175" s="35" t="s">
        <v>323</v>
      </c>
      <c r="L175" s="7" t="s">
        <v>324</v>
      </c>
      <c r="M175">
        <v>-45.67</v>
      </c>
      <c r="N175" s="4" t="e">
        <f>+VLOOKUP(D175,'DISPOSITIVOS ACTIVOS'!B:D,3,FALSE)</f>
        <v>#N/A</v>
      </c>
      <c r="O175" t="e">
        <f>+VLOOKUP(D175,'DISPOSITIVOS ACTIVOS'!B:G,6,FALSE)</f>
        <v>#N/A</v>
      </c>
      <c r="P175" t="e">
        <f>+VLOOKUP(D175,'DISPOSITIVOS ACTIVOS'!$B$1:$H$299,7,FALSE)</f>
        <v>#N/A</v>
      </c>
      <c r="Q175" t="str">
        <f>IFERROR(+VLOOKUP(D175,'[1]Migracion feb25 Ver to ATT'!$B:$B,1,FALSE), "NO")</f>
        <v>NO</v>
      </c>
      <c r="R175" s="26">
        <f>+M175</f>
        <v>-45.67</v>
      </c>
    </row>
    <row r="176" spans="1:18" x14ac:dyDescent="0.3">
      <c r="A176" t="s">
        <v>22</v>
      </c>
      <c r="B176">
        <v>25</v>
      </c>
      <c r="C176">
        <v>4</v>
      </c>
      <c r="D176" s="7" t="s">
        <v>135</v>
      </c>
      <c r="E176" s="7" t="s">
        <v>136</v>
      </c>
      <c r="F176" s="7" t="s">
        <v>370</v>
      </c>
      <c r="G176" s="35" t="s">
        <v>371</v>
      </c>
      <c r="H176" s="35"/>
      <c r="I176" s="7" t="s">
        <v>287</v>
      </c>
      <c r="J176" s="35" t="s">
        <v>372</v>
      </c>
      <c r="K176" s="35" t="s">
        <v>373</v>
      </c>
      <c r="L176" s="7" t="s">
        <v>374</v>
      </c>
      <c r="M176" s="41">
        <v>73.47</v>
      </c>
      <c r="N176" t="str">
        <f>+VLOOKUP(D176,'DISPOSITIVOS ACTIVOS'!B:D,3,FALSE)</f>
        <v>Iphone</v>
      </c>
      <c r="O176" t="str">
        <f>+VLOOKUP(D176,'DISPOSITIVOS ACTIVOS'!B:G,6,FALSE)</f>
        <v>VILLATORO, MERARI</v>
      </c>
      <c r="P176" t="str">
        <f>+VLOOKUP(D176,'DISPOSITIVOS ACTIVOS'!$B$1:$H$299,7,FALSE)</f>
        <v>VP</v>
      </c>
      <c r="Q176" t="str">
        <f>IFERROR(+VLOOKUP(D176,'[1]Migracion feb25 Ver to ATT'!$B:$B,1,FALSE), "NO")</f>
        <v>NO</v>
      </c>
      <c r="R176" s="26">
        <f t="shared" si="6"/>
        <v>25</v>
      </c>
    </row>
    <row r="177" spans="1:18" x14ac:dyDescent="0.3">
      <c r="A177" t="s">
        <v>22</v>
      </c>
      <c r="B177">
        <v>25</v>
      </c>
      <c r="C177">
        <v>4</v>
      </c>
      <c r="D177" s="7" t="s">
        <v>137</v>
      </c>
      <c r="E177" s="7" t="s">
        <v>36</v>
      </c>
      <c r="F177" s="7" t="s">
        <v>375</v>
      </c>
      <c r="G177" s="35" t="s">
        <v>376</v>
      </c>
      <c r="H177" s="35"/>
      <c r="I177" s="7" t="s">
        <v>287</v>
      </c>
      <c r="J177" s="35" t="s">
        <v>362</v>
      </c>
      <c r="K177" s="35" t="s">
        <v>377</v>
      </c>
      <c r="L177" s="7" t="s">
        <v>378</v>
      </c>
      <c r="M177" s="41">
        <v>174.09</v>
      </c>
      <c r="N177" t="str">
        <f>+VLOOKUP(D177,'DISPOSITIVOS ACTIVOS'!B:D,3,FALSE)</f>
        <v>Iphone</v>
      </c>
      <c r="O177" t="str">
        <f>+VLOOKUP(D177,'DISPOSITIVOS ACTIVOS'!B:G,6,FALSE)</f>
        <v>MADRIZ, JOHAN</v>
      </c>
      <c r="P177" t="str">
        <f>+VLOOKUP(D177,'DISPOSITIVOS ACTIVOS'!$B$1:$H$299,7,FALSE)</f>
        <v>President</v>
      </c>
      <c r="Q177" t="str">
        <f>IFERROR(+VLOOKUP(D177,'[1]Migracion feb25 Ver to ATT'!$B:$B,1,FALSE), "NO")</f>
        <v>NO</v>
      </c>
      <c r="R177" s="26">
        <f t="shared" si="6"/>
        <v>25</v>
      </c>
    </row>
    <row r="178" spans="1:18" x14ac:dyDescent="0.3">
      <c r="A178" t="s">
        <v>22</v>
      </c>
      <c r="B178">
        <v>25</v>
      </c>
      <c r="C178">
        <v>4</v>
      </c>
      <c r="D178" s="7" t="s">
        <v>47</v>
      </c>
      <c r="E178" s="7" t="s">
        <v>48</v>
      </c>
      <c r="F178" s="7" t="s">
        <v>379</v>
      </c>
      <c r="G178" s="7" t="s">
        <v>380</v>
      </c>
      <c r="H178" s="35"/>
      <c r="I178" s="35" t="s">
        <v>355</v>
      </c>
      <c r="J178" s="35" t="s">
        <v>30</v>
      </c>
      <c r="K178" s="35" t="s">
        <v>30</v>
      </c>
      <c r="L178" s="7" t="s">
        <v>30</v>
      </c>
      <c r="M178">
        <v>18.5</v>
      </c>
      <c r="N178" s="4" t="s">
        <v>114</v>
      </c>
      <c r="O178" t="e">
        <f>+VLOOKUP(D178,'DISPOSITIVOS ACTIVOS'!B:G,6,FALSE)</f>
        <v>#N/A</v>
      </c>
      <c r="P178" t="e">
        <f>+VLOOKUP(D178,'DISPOSITIVOS ACTIVOS'!$B$1:$H$299,7,FALSE)</f>
        <v>#N/A</v>
      </c>
      <c r="Q178" t="str">
        <f>IFERROR(+VLOOKUP(D178,'[1]Migracion feb25 Ver to ATT'!$B:$B,1,FALSE), "NO")</f>
        <v>NO</v>
      </c>
      <c r="R178" s="26">
        <f t="shared" si="6"/>
        <v>25</v>
      </c>
    </row>
    <row r="179" spans="1:18" x14ac:dyDescent="0.3">
      <c r="A179" t="s">
        <v>22</v>
      </c>
      <c r="B179">
        <v>25</v>
      </c>
      <c r="C179">
        <v>4</v>
      </c>
      <c r="D179" s="7" t="s">
        <v>138</v>
      </c>
      <c r="E179" s="7" t="s">
        <v>139</v>
      </c>
      <c r="F179" s="7" t="s">
        <v>381</v>
      </c>
      <c r="G179" s="35" t="s">
        <v>332</v>
      </c>
      <c r="H179" s="35"/>
      <c r="I179" s="7" t="s">
        <v>297</v>
      </c>
      <c r="J179" s="35" t="s">
        <v>30</v>
      </c>
      <c r="K179" s="35" t="s">
        <v>264</v>
      </c>
      <c r="L179" s="7" t="s">
        <v>30</v>
      </c>
      <c r="M179">
        <v>3.75</v>
      </c>
      <c r="N179" t="str">
        <f>+VLOOKUP(D179,'DISPOSITIVOS ACTIVOS'!B:D,3,FALSE)</f>
        <v>Ipad</v>
      </c>
      <c r="O179" t="str">
        <f>+VLOOKUP(D179,'DISPOSITIVOS ACTIVOS'!B:G,6,FALSE)</f>
        <v>LOPEZ, YESENIA</v>
      </c>
      <c r="P179" t="str">
        <f>+VLOOKUP(D179,'DISPOSITIVOS ACTIVOS'!$B$1:$H$299,7,FALSE)</f>
        <v>SALES WEST</v>
      </c>
      <c r="Q179" t="str">
        <f>IFERROR(+VLOOKUP(D179,'[1]Migracion feb25 Ver to ATT'!$B:$B,1,FALSE), "NO")</f>
        <v>NO</v>
      </c>
      <c r="R179" s="26">
        <f t="shared" si="6"/>
        <v>25</v>
      </c>
    </row>
    <row r="180" spans="1:18" x14ac:dyDescent="0.3">
      <c r="A180" t="s">
        <v>22</v>
      </c>
      <c r="B180">
        <v>25</v>
      </c>
      <c r="C180">
        <v>4</v>
      </c>
      <c r="D180" s="7" t="s">
        <v>140</v>
      </c>
      <c r="E180" s="7" t="s">
        <v>141</v>
      </c>
      <c r="F180" s="7" t="s">
        <v>382</v>
      </c>
      <c r="G180" s="35" t="s">
        <v>332</v>
      </c>
      <c r="H180" s="35"/>
      <c r="I180" s="7" t="s">
        <v>297</v>
      </c>
      <c r="J180" s="35" t="s">
        <v>30</v>
      </c>
      <c r="K180" s="35" t="s">
        <v>264</v>
      </c>
      <c r="L180" s="7" t="s">
        <v>30</v>
      </c>
      <c r="M180">
        <v>3.75</v>
      </c>
      <c r="N180" t="str">
        <f>+VLOOKUP(D180,'DISPOSITIVOS ACTIVOS'!B:D,3,FALSE)</f>
        <v>Ipad</v>
      </c>
      <c r="O180" t="str">
        <f>+VLOOKUP(D180,'DISPOSITIVOS ACTIVOS'!B:G,6,FALSE)</f>
        <v>MAITA, JOSE</v>
      </c>
      <c r="P180" t="str">
        <f>+VLOOKUP(D180,'DISPOSITIVOS ACTIVOS'!$B$1:$H$299,7,FALSE)</f>
        <v>SALES SOUTH</v>
      </c>
      <c r="Q180" t="str">
        <f>IFERROR(+VLOOKUP(D180,'[1]Migracion feb25 Ver to ATT'!$B:$B,1,FALSE), "NO")</f>
        <v>NO</v>
      </c>
      <c r="R180" s="26">
        <f t="shared" si="6"/>
        <v>25</v>
      </c>
    </row>
    <row r="181" spans="1:18" x14ac:dyDescent="0.3">
      <c r="A181" t="s">
        <v>22</v>
      </c>
      <c r="B181">
        <v>25</v>
      </c>
      <c r="C181">
        <v>4</v>
      </c>
      <c r="D181" s="7" t="s">
        <v>142</v>
      </c>
      <c r="E181" s="7" t="s">
        <v>143</v>
      </c>
      <c r="F181" s="7" t="s">
        <v>383</v>
      </c>
      <c r="G181" s="7" t="s">
        <v>332</v>
      </c>
      <c r="H181" s="35"/>
      <c r="I181" s="35" t="s">
        <v>297</v>
      </c>
      <c r="J181" s="35" t="s">
        <v>30</v>
      </c>
      <c r="K181" s="35" t="s">
        <v>264</v>
      </c>
      <c r="L181" s="7" t="s">
        <v>30</v>
      </c>
      <c r="M181">
        <v>3.75</v>
      </c>
      <c r="N181" t="str">
        <f>+VLOOKUP(D181,'DISPOSITIVOS ACTIVOS'!B:D,3,FALSE)</f>
        <v>Ipad</v>
      </c>
      <c r="O181" t="str">
        <f>+VLOOKUP(D181,'DISPOSITIVOS ACTIVOS'!B:G,6,FALSE)</f>
        <v>SILVA R, ROSMARY JOSE</v>
      </c>
      <c r="P181" t="str">
        <f>+VLOOKUP(D181,'DISPOSITIVOS ACTIVOS'!$B$1:$H$299,7,FALSE)</f>
        <v>SALES SOUTH</v>
      </c>
      <c r="Q181" t="str">
        <f>IFERROR(+VLOOKUP(D181,'[1]Migracion feb25 Ver to ATT'!$B:$B,1,FALSE), "NO")</f>
        <v>NO</v>
      </c>
      <c r="R181" s="26">
        <f t="shared" si="6"/>
        <v>25</v>
      </c>
    </row>
    <row r="182" spans="1:18" x14ac:dyDescent="0.3">
      <c r="A182" t="s">
        <v>22</v>
      </c>
      <c r="B182">
        <v>25</v>
      </c>
      <c r="C182">
        <v>4</v>
      </c>
      <c r="D182" s="7" t="s">
        <v>144</v>
      </c>
      <c r="E182" s="7" t="s">
        <v>145</v>
      </c>
      <c r="F182" s="7" t="s">
        <v>384</v>
      </c>
      <c r="G182" s="35" t="s">
        <v>286</v>
      </c>
      <c r="H182" s="35"/>
      <c r="I182" s="7" t="s">
        <v>287</v>
      </c>
      <c r="J182" s="35" t="s">
        <v>299</v>
      </c>
      <c r="K182" s="35" t="s">
        <v>289</v>
      </c>
      <c r="L182" s="7" t="s">
        <v>308</v>
      </c>
      <c r="M182" s="41">
        <v>41.4</v>
      </c>
      <c r="N182" t="str">
        <f>+VLOOKUP(D182,'DISPOSITIVOS ACTIVOS'!B:D,3,FALSE)</f>
        <v>Iphone</v>
      </c>
      <c r="O182" t="str">
        <f>+VLOOKUP(D182,'DISPOSITIVOS ACTIVOS'!B:G,6,FALSE)</f>
        <v>PELAEZ, ELIZABETH</v>
      </c>
      <c r="P182" t="str">
        <f>+VLOOKUP(D182,'DISPOSITIVOS ACTIVOS'!$B$1:$H$299,7,FALSE)</f>
        <v>SALES CENTRAL</v>
      </c>
      <c r="Q182" t="str">
        <f>IFERROR(+VLOOKUP(D182,'[1]Migracion feb25 Ver to ATT'!$B:$B,1,FALSE), "NO")</f>
        <v>NO</v>
      </c>
      <c r="R182" s="26">
        <f t="shared" si="6"/>
        <v>25</v>
      </c>
    </row>
    <row r="183" spans="1:18" x14ac:dyDescent="0.3">
      <c r="A183" t="s">
        <v>22</v>
      </c>
      <c r="B183">
        <v>25</v>
      </c>
      <c r="C183">
        <v>4</v>
      </c>
      <c r="D183" s="7" t="s">
        <v>146</v>
      </c>
      <c r="E183" s="7" t="s">
        <v>96</v>
      </c>
      <c r="F183" s="7" t="s">
        <v>385</v>
      </c>
      <c r="G183" s="35" t="s">
        <v>286</v>
      </c>
      <c r="H183" s="35"/>
      <c r="I183" s="7" t="s">
        <v>287</v>
      </c>
      <c r="J183" s="35" t="s">
        <v>30</v>
      </c>
      <c r="K183" s="35" t="s">
        <v>292</v>
      </c>
      <c r="L183" s="7" t="s">
        <v>293</v>
      </c>
      <c r="M183" s="41">
        <v>31.7</v>
      </c>
      <c r="N183" t="str">
        <f>+VLOOKUP(D183,'DISPOSITIVOS ACTIVOS'!B:D,3,FALSE)</f>
        <v>Iphone</v>
      </c>
      <c r="O183" t="str">
        <f>+VLOOKUP(D183,'DISPOSITIVOS ACTIVOS'!B:G,6,FALSE)</f>
        <v>SUAREZ LEZCANO, FERNANDO M</v>
      </c>
      <c r="P183" t="str">
        <f>+VLOOKUP(D183,'DISPOSITIVOS ACTIVOS'!$B$1:$H$299,7,FALSE)</f>
        <v>SALES RITEFILL DSD CENTRAL</v>
      </c>
      <c r="Q183" t="str">
        <f>IFERROR(+VLOOKUP(D183,'[1]Migracion feb25 Ver to ATT'!$B:$B,1,FALSE), "NO")</f>
        <v>615-626-2116</v>
      </c>
      <c r="R183" s="26">
        <f t="shared" si="6"/>
        <v>15</v>
      </c>
    </row>
    <row r="184" spans="1:18" x14ac:dyDescent="0.3">
      <c r="A184" t="s">
        <v>22</v>
      </c>
      <c r="B184">
        <v>25</v>
      </c>
      <c r="C184">
        <v>4</v>
      </c>
      <c r="D184" s="7" t="s">
        <v>147</v>
      </c>
      <c r="E184" s="7" t="s">
        <v>148</v>
      </c>
      <c r="F184" s="7" t="s">
        <v>386</v>
      </c>
      <c r="G184" s="7" t="s">
        <v>286</v>
      </c>
      <c r="H184" s="35"/>
      <c r="I184" s="35" t="s">
        <v>287</v>
      </c>
      <c r="J184" s="35" t="s">
        <v>30</v>
      </c>
      <c r="K184" s="35" t="s">
        <v>292</v>
      </c>
      <c r="L184" s="7" t="s">
        <v>293</v>
      </c>
      <c r="M184" s="41">
        <v>31.7</v>
      </c>
      <c r="N184" t="str">
        <f>+VLOOKUP(D184,'DISPOSITIVOS ACTIVOS'!B:D,3,FALSE)</f>
        <v>Iphone</v>
      </c>
      <c r="O184" t="str">
        <f>+VLOOKUP(D184,'DISPOSITIVOS ACTIVOS'!B:G,6,FALSE)</f>
        <v>NAJERA, LIZET</v>
      </c>
      <c r="P184" t="str">
        <f>+VLOOKUP(D184,'DISPOSITIVOS ACTIVOS'!$B$1:$H$299,7,FALSE)</f>
        <v>SALES NORTH</v>
      </c>
      <c r="Q184" t="str">
        <f>IFERROR(+VLOOKUP(D184,'[1]Migracion feb25 Ver to ATT'!$B:$B,1,FALSE), "NO")</f>
        <v>615-626-2756</v>
      </c>
      <c r="R184" s="26">
        <f t="shared" si="6"/>
        <v>15</v>
      </c>
    </row>
    <row r="185" spans="1:18" x14ac:dyDescent="0.3">
      <c r="A185" t="s">
        <v>22</v>
      </c>
      <c r="B185">
        <v>25</v>
      </c>
      <c r="C185">
        <v>4</v>
      </c>
      <c r="D185" s="7" t="s">
        <v>149</v>
      </c>
      <c r="E185" s="7" t="s">
        <v>150</v>
      </c>
      <c r="F185" s="7" t="s">
        <v>387</v>
      </c>
      <c r="G185" s="35" t="s">
        <v>286</v>
      </c>
      <c r="H185" s="35"/>
      <c r="I185" s="7" t="s">
        <v>287</v>
      </c>
      <c r="J185" s="35" t="s">
        <v>30</v>
      </c>
      <c r="K185" s="35" t="s">
        <v>292</v>
      </c>
      <c r="L185" s="7" t="s">
        <v>293</v>
      </c>
      <c r="M185" s="41">
        <v>31.7</v>
      </c>
      <c r="N185" t="str">
        <f>+VLOOKUP(D185,'DISPOSITIVOS ACTIVOS'!B:D,3,FALSE)</f>
        <v>Iphone</v>
      </c>
      <c r="O185" t="str">
        <f>+VLOOKUP(D185,'DISPOSITIVOS ACTIVOS'!B:G,6,FALSE)</f>
        <v>LOPEZ, ALEJANDRA C</v>
      </c>
      <c r="P185" t="str">
        <f>+VLOOKUP(D185,'DISPOSITIVOS ACTIVOS'!$B$1:$H$299,7,FALSE)</f>
        <v>SALES WEST</v>
      </c>
      <c r="Q185" t="str">
        <f>IFERROR(+VLOOKUP(D185,'[1]Migracion feb25 Ver to ATT'!$B:$B,1,FALSE), "NO")</f>
        <v>615-626-3208</v>
      </c>
      <c r="R185" s="26">
        <f t="shared" si="6"/>
        <v>15</v>
      </c>
    </row>
    <row r="186" spans="1:18" x14ac:dyDescent="0.3">
      <c r="A186" t="s">
        <v>22</v>
      </c>
      <c r="B186">
        <v>25</v>
      </c>
      <c r="C186">
        <v>4</v>
      </c>
      <c r="D186" s="7" t="s">
        <v>151</v>
      </c>
      <c r="E186" s="7" t="s">
        <v>152</v>
      </c>
      <c r="F186" s="7" t="s">
        <v>388</v>
      </c>
      <c r="G186" s="35" t="s">
        <v>286</v>
      </c>
      <c r="H186" s="35"/>
      <c r="I186" s="7" t="s">
        <v>287</v>
      </c>
      <c r="J186" s="35" t="s">
        <v>30</v>
      </c>
      <c r="K186" s="35" t="s">
        <v>292</v>
      </c>
      <c r="L186" s="7" t="s">
        <v>293</v>
      </c>
      <c r="M186" s="41">
        <v>31.7</v>
      </c>
      <c r="N186">
        <f>+VLOOKUP(D186,'DISPOSITIVOS ACTIVOS'!B:D,3,FALSE)</f>
        <v>0</v>
      </c>
      <c r="O186" t="str">
        <f>+VLOOKUP(D186,'DISPOSITIVOS ACTIVOS'!B:G,6,FALSE)</f>
        <v>TOVAR, ZULLYMAR</v>
      </c>
      <c r="P186" t="str">
        <f>+VLOOKUP(D186,'DISPOSITIVOS ACTIVOS'!$B$1:$H$299,7,FALSE)</f>
        <v>SALES CENTRAL</v>
      </c>
      <c r="Q186" t="str">
        <f>IFERROR(+VLOOKUP(D186,'[1]Migracion feb25 Ver to ATT'!$B:$B,1,FALSE), "NO")</f>
        <v>615-626-3219</v>
      </c>
      <c r="R186" s="26">
        <f t="shared" si="6"/>
        <v>15</v>
      </c>
    </row>
    <row r="187" spans="1:18" x14ac:dyDescent="0.3">
      <c r="A187" t="s">
        <v>22</v>
      </c>
      <c r="B187">
        <v>25</v>
      </c>
      <c r="C187">
        <v>4</v>
      </c>
      <c r="D187" s="7" t="s">
        <v>153</v>
      </c>
      <c r="E187" s="7" t="s">
        <v>154</v>
      </c>
      <c r="F187" s="7" t="s">
        <v>389</v>
      </c>
      <c r="G187" s="7" t="s">
        <v>390</v>
      </c>
      <c r="H187" s="35"/>
      <c r="I187" s="35" t="s">
        <v>287</v>
      </c>
      <c r="J187" s="35" t="s">
        <v>391</v>
      </c>
      <c r="K187" s="35" t="s">
        <v>392</v>
      </c>
      <c r="L187" s="7" t="s">
        <v>290</v>
      </c>
      <c r="M187" s="41">
        <v>62.5</v>
      </c>
      <c r="N187" t="str">
        <f>+VLOOKUP(D187,'DISPOSITIVOS ACTIVOS'!B:D,3,FALSE)</f>
        <v>Iphone</v>
      </c>
      <c r="O187" t="str">
        <f>+VLOOKUP(D187,'DISPOSITIVOS ACTIVOS'!B:G,6,FALSE)</f>
        <v>HERRERA MOLINA, JOSE CARLOS</v>
      </c>
      <c r="P187" t="str">
        <f>+VLOOKUP(D187,'DISPOSITIVOS ACTIVOS'!$B$1:$H$299,7,FALSE)</f>
        <v>CEO</v>
      </c>
      <c r="Q187" t="str">
        <f>IFERROR(+VLOOKUP(D187,'[1]Migracion feb25 Ver to ATT'!$B:$B,1,FALSE), "NO")</f>
        <v>NO</v>
      </c>
      <c r="R187" s="26">
        <f t="shared" si="6"/>
        <v>25</v>
      </c>
    </row>
    <row r="188" spans="1:18" x14ac:dyDescent="0.3">
      <c r="A188" t="s">
        <v>22</v>
      </c>
      <c r="B188">
        <v>25</v>
      </c>
      <c r="C188">
        <v>4</v>
      </c>
      <c r="D188" s="7" t="s">
        <v>155</v>
      </c>
      <c r="E188" s="7" t="s">
        <v>156</v>
      </c>
      <c r="F188" s="7" t="s">
        <v>393</v>
      </c>
      <c r="G188" s="35" t="s">
        <v>394</v>
      </c>
      <c r="H188" s="35"/>
      <c r="I188" s="7" t="s">
        <v>287</v>
      </c>
      <c r="J188" s="35" t="s">
        <v>304</v>
      </c>
      <c r="K188" s="35" t="s">
        <v>395</v>
      </c>
      <c r="L188" s="7" t="s">
        <v>396</v>
      </c>
      <c r="M188" s="41">
        <v>40.18</v>
      </c>
      <c r="N188" t="str">
        <f>+VLOOKUP(D188,'DISPOSITIVOS ACTIVOS'!B:D,3,FALSE)</f>
        <v>Iphone</v>
      </c>
      <c r="O188" t="str">
        <f>+VLOOKUP(D188,'DISPOSITIVOS ACTIVOS'!B:G,6,FALSE)</f>
        <v>PRADO, JORGE A</v>
      </c>
      <c r="P188" t="str">
        <f>+VLOOKUP(D188,'DISPOSITIVOS ACTIVOS'!$B$1:$H$299,7,FALSE)</f>
        <v>COO</v>
      </c>
      <c r="Q188" t="str">
        <f>IFERROR(+VLOOKUP(D188,'[1]Migracion feb25 Ver to ATT'!$B:$B,1,FALSE), "NO")</f>
        <v>NO</v>
      </c>
      <c r="R188" s="26">
        <f t="shared" si="6"/>
        <v>25</v>
      </c>
    </row>
    <row r="189" spans="1:18" x14ac:dyDescent="0.3">
      <c r="A189" t="s">
        <v>22</v>
      </c>
      <c r="B189">
        <v>25</v>
      </c>
      <c r="C189">
        <v>4</v>
      </c>
      <c r="D189" s="7" t="s">
        <v>157</v>
      </c>
      <c r="E189" s="7" t="s">
        <v>158</v>
      </c>
      <c r="F189" s="7" t="s">
        <v>397</v>
      </c>
      <c r="G189" s="35" t="s">
        <v>286</v>
      </c>
      <c r="H189" s="35"/>
      <c r="I189" s="7" t="s">
        <v>287</v>
      </c>
      <c r="J189" s="35" t="s">
        <v>30</v>
      </c>
      <c r="K189" s="35" t="s">
        <v>289</v>
      </c>
      <c r="L189" s="7" t="s">
        <v>308</v>
      </c>
      <c r="M189" s="41">
        <v>30.41</v>
      </c>
      <c r="N189" t="str">
        <f>+VLOOKUP(D189,'DISPOSITIVOS ACTIVOS'!B:D,3,FALSE)</f>
        <v>Iphone</v>
      </c>
      <c r="O189" t="str">
        <f>+VLOOKUP(D189,'DISPOSITIVOS ACTIVOS'!B:G,6,FALSE)</f>
        <v>QUIJANO, NICOLAS</v>
      </c>
      <c r="P189" t="str">
        <f>+VLOOKUP(D189,'DISPOSITIVOS ACTIVOS'!$B$1:$H$299,7,FALSE)</f>
        <v>CFO</v>
      </c>
      <c r="Q189" t="str">
        <f>IFERROR(+VLOOKUP(D189,'[1]Migracion feb25 Ver to ATT'!$B:$B,1,FALSE), "NO")</f>
        <v>NO</v>
      </c>
      <c r="R189" s="26">
        <f t="shared" si="6"/>
        <v>25</v>
      </c>
    </row>
    <row r="190" spans="1:18" x14ac:dyDescent="0.3">
      <c r="A190" t="s">
        <v>22</v>
      </c>
      <c r="B190">
        <v>25</v>
      </c>
      <c r="C190">
        <v>4</v>
      </c>
      <c r="D190" s="7" t="s">
        <v>159</v>
      </c>
      <c r="E190" s="7" t="s">
        <v>160</v>
      </c>
      <c r="F190" s="7" t="s">
        <v>398</v>
      </c>
      <c r="G190" s="7" t="s">
        <v>399</v>
      </c>
      <c r="H190" s="35"/>
      <c r="I190" s="35" t="s">
        <v>287</v>
      </c>
      <c r="J190" s="35" t="s">
        <v>400</v>
      </c>
      <c r="K190" s="35" t="s">
        <v>401</v>
      </c>
      <c r="L190" s="7" t="s">
        <v>264</v>
      </c>
      <c r="M190" s="41">
        <v>144.30000000000001</v>
      </c>
      <c r="N190" t="str">
        <f>+VLOOKUP(D190,'DISPOSITIVOS ACTIVOS'!B:D,3,FALSE)</f>
        <v>Iphone</v>
      </c>
      <c r="O190" t="str">
        <f>+VLOOKUP(D190,'DISPOSITIVOS ACTIVOS'!B:G,6,FALSE)</f>
        <v>MADRIZ, JOHAN</v>
      </c>
      <c r="P190" t="str">
        <f>+VLOOKUP(D190,'DISPOSITIVOS ACTIVOS'!$B$1:$H$299,7,FALSE)</f>
        <v>President</v>
      </c>
      <c r="Q190" t="str">
        <f>IFERROR(+VLOOKUP(D190,'[1]Migracion feb25 Ver to ATT'!$B:$B,1,FALSE), "NO")</f>
        <v>NO</v>
      </c>
      <c r="R190" s="26">
        <f t="shared" si="6"/>
        <v>25</v>
      </c>
    </row>
    <row r="191" spans="1:18" x14ac:dyDescent="0.3">
      <c r="A191" t="s">
        <v>22</v>
      </c>
      <c r="B191">
        <v>25</v>
      </c>
      <c r="C191">
        <v>4</v>
      </c>
      <c r="D191" s="7" t="s">
        <v>161</v>
      </c>
      <c r="E191" s="7" t="s">
        <v>162</v>
      </c>
      <c r="F191" s="7" t="s">
        <v>402</v>
      </c>
      <c r="G191" s="35" t="s">
        <v>286</v>
      </c>
      <c r="H191" s="35"/>
      <c r="I191" s="7" t="s">
        <v>287</v>
      </c>
      <c r="J191" s="35" t="s">
        <v>288</v>
      </c>
      <c r="K191" s="35" t="s">
        <v>289</v>
      </c>
      <c r="L191" s="7" t="s">
        <v>308</v>
      </c>
      <c r="M191" s="41">
        <v>35.409999999999997</v>
      </c>
      <c r="N191" t="str">
        <f>+VLOOKUP(D191,'DISPOSITIVOS ACTIVOS'!B:D,3,FALSE)</f>
        <v>Iphone</v>
      </c>
      <c r="O191" t="str">
        <f>+VLOOKUP(D191,'DISPOSITIVOS ACTIVOS'!B:G,6,FALSE)</f>
        <v>TELLO, IVAN E</v>
      </c>
      <c r="P191" t="str">
        <f>+VLOOKUP(D191,'DISPOSITIVOS ACTIVOS'!$B$1:$H$299,7,FALSE)</f>
        <v>SALES CENTRAL</v>
      </c>
      <c r="Q191" t="str">
        <f>IFERROR(+VLOOKUP(D191,'[1]Migracion feb25 Ver to ATT'!$B:$B,1,FALSE), "NO")</f>
        <v>NO</v>
      </c>
      <c r="R191" s="26">
        <f t="shared" si="6"/>
        <v>25</v>
      </c>
    </row>
    <row r="192" spans="1:18" x14ac:dyDescent="0.3">
      <c r="A192" t="s">
        <v>22</v>
      </c>
      <c r="B192">
        <v>25</v>
      </c>
      <c r="C192">
        <v>4</v>
      </c>
      <c r="D192" s="7" t="s">
        <v>163</v>
      </c>
      <c r="E192" s="7" t="s">
        <v>403</v>
      </c>
      <c r="F192" s="7" t="s">
        <v>404</v>
      </c>
      <c r="G192" s="35" t="s">
        <v>30</v>
      </c>
      <c r="H192" s="35"/>
      <c r="I192" s="7" t="s">
        <v>297</v>
      </c>
      <c r="J192" s="35" t="s">
        <v>30</v>
      </c>
      <c r="K192" s="35" t="s">
        <v>264</v>
      </c>
      <c r="L192" s="7" t="s">
        <v>30</v>
      </c>
      <c r="M192">
        <v>18.75</v>
      </c>
      <c r="N192" t="str">
        <f>+VLOOKUP(D192,'DISPOSITIVOS ACTIVOS'!B:D,3,FALSE)</f>
        <v>Ipad</v>
      </c>
      <c r="O192" t="str">
        <f>+VLOOKUP(D192,'DISPOSITIVOS ACTIVOS'!B:G,6,FALSE)</f>
        <v>SILVA, ELISA</v>
      </c>
      <c r="P192" t="str">
        <f>+VLOOKUP(D192,'DISPOSITIVOS ACTIVOS'!$B$1:$H$299,7,FALSE)</f>
        <v>SALES WEST</v>
      </c>
      <c r="Q192" t="str">
        <f>IFERROR(+VLOOKUP(D192,'[1]Migracion feb25 Ver to ATT'!$B:$B,1,FALSE), "NO")</f>
        <v>NO</v>
      </c>
      <c r="R192" s="26">
        <f t="shared" si="6"/>
        <v>25</v>
      </c>
    </row>
    <row r="193" spans="1:18" x14ac:dyDescent="0.3">
      <c r="A193" t="s">
        <v>22</v>
      </c>
      <c r="B193">
        <v>25</v>
      </c>
      <c r="C193">
        <v>4</v>
      </c>
      <c r="D193" s="7" t="s">
        <v>165</v>
      </c>
      <c r="E193" s="7" t="s">
        <v>166</v>
      </c>
      <c r="F193" s="7" t="s">
        <v>405</v>
      </c>
      <c r="G193" s="7" t="s">
        <v>335</v>
      </c>
      <c r="H193" s="35"/>
      <c r="I193" s="35" t="s">
        <v>287</v>
      </c>
      <c r="J193" s="35" t="s">
        <v>30</v>
      </c>
      <c r="K193" s="35" t="s">
        <v>292</v>
      </c>
      <c r="L193" s="7" t="s">
        <v>293</v>
      </c>
      <c r="M193">
        <v>13.37</v>
      </c>
      <c r="N193" t="str">
        <f>+VLOOKUP(D193,'DISPOSITIVOS ACTIVOS'!B:D,3,FALSE)</f>
        <v xml:space="preserve">Galaxy </v>
      </c>
      <c r="O193" t="str">
        <f>+VLOOKUP(D193,'DISPOSITIVOS ACTIVOS'!B:G,6,FALSE)</f>
        <v>REMBERT, ANTORIUS DAVUN</v>
      </c>
      <c r="P193" t="str">
        <f>+VLOOKUP(D193,'DISPOSITIVOS ACTIVOS'!$B$1:$H$299,7,FALSE)</f>
        <v>LOGISTICS SOUTH</v>
      </c>
      <c r="Q193" t="str">
        <f>IFERROR(+VLOOKUP(D193,'[1]Migracion feb25 Ver to ATT'!$B:$B,1,FALSE), "NO")</f>
        <v>615-795-8193</v>
      </c>
      <c r="R193" s="26">
        <f t="shared" si="6"/>
        <v>15</v>
      </c>
    </row>
    <row r="194" spans="1:18" x14ac:dyDescent="0.3">
      <c r="A194" t="s">
        <v>22</v>
      </c>
      <c r="B194">
        <v>25</v>
      </c>
      <c r="C194">
        <v>4</v>
      </c>
      <c r="D194" s="7" t="s">
        <v>167</v>
      </c>
      <c r="E194" s="7" t="s">
        <v>168</v>
      </c>
      <c r="F194" s="7" t="s">
        <v>406</v>
      </c>
      <c r="G194" s="35" t="s">
        <v>335</v>
      </c>
      <c r="H194" s="35"/>
      <c r="I194" s="7" t="s">
        <v>287</v>
      </c>
      <c r="J194" s="35" t="s">
        <v>30</v>
      </c>
      <c r="K194" s="35" t="s">
        <v>292</v>
      </c>
      <c r="L194" s="7" t="s">
        <v>293</v>
      </c>
      <c r="M194">
        <v>13.37</v>
      </c>
      <c r="N194" t="str">
        <f>+VLOOKUP(D194,'DISPOSITIVOS ACTIVOS'!B:D,3,FALSE)</f>
        <v xml:space="preserve">Galaxy </v>
      </c>
      <c r="O194" t="str">
        <f>+VLOOKUP(D194,'DISPOSITIVOS ACTIVOS'!B:G,6,FALSE)</f>
        <v>FERRER BRACHO, MERVIN J</v>
      </c>
      <c r="P194" t="str">
        <f>+VLOOKUP(D194,'DISPOSITIVOS ACTIVOS'!$B$1:$H$299,7,FALSE)</f>
        <v>LOGISTICS CENTRAL</v>
      </c>
      <c r="Q194" t="str">
        <f>IFERROR(+VLOOKUP(D194,'[1]Migracion feb25 Ver to ATT'!$B:$B,1,FALSE), "NO")</f>
        <v>615-795-8195</v>
      </c>
      <c r="R194" s="26">
        <f t="shared" si="6"/>
        <v>15</v>
      </c>
    </row>
    <row r="195" spans="1:18" x14ac:dyDescent="0.3">
      <c r="A195" t="s">
        <v>22</v>
      </c>
      <c r="B195">
        <v>25</v>
      </c>
      <c r="C195">
        <v>4</v>
      </c>
      <c r="D195" s="7" t="s">
        <v>169</v>
      </c>
      <c r="E195" s="7" t="s">
        <v>170</v>
      </c>
      <c r="F195" s="7" t="s">
        <v>407</v>
      </c>
      <c r="G195" s="35" t="s">
        <v>286</v>
      </c>
      <c r="H195" s="35"/>
      <c r="I195" s="7" t="s">
        <v>287</v>
      </c>
      <c r="J195" s="35" t="s">
        <v>30</v>
      </c>
      <c r="K195" s="35" t="s">
        <v>292</v>
      </c>
      <c r="L195" s="7" t="s">
        <v>293</v>
      </c>
      <c r="M195" s="41">
        <v>31.7</v>
      </c>
      <c r="N195" t="str">
        <f>+VLOOKUP(D195,'DISPOSITIVOS ACTIVOS'!B:D,3,FALSE)</f>
        <v>Iphone</v>
      </c>
      <c r="O195" t="str">
        <f>+VLOOKUP(D195,'DISPOSITIVOS ACTIVOS'!B:G,6,FALSE)</f>
        <v>REYES, YULIN</v>
      </c>
      <c r="P195" t="str">
        <f>+VLOOKUP(D195,'DISPOSITIVOS ACTIVOS'!$B$1:$H$299,7,FALSE)</f>
        <v>SALES CENTRAL</v>
      </c>
      <c r="Q195" t="str">
        <f>IFERROR(+VLOOKUP(D195,'[1]Migracion feb25 Ver to ATT'!$B:$B,1,FALSE), "NO")</f>
        <v>615-804-0516</v>
      </c>
      <c r="R195" s="26">
        <f t="shared" ref="R195:R258" si="7">+IF(Q195="NO",25,15)</f>
        <v>15</v>
      </c>
    </row>
    <row r="196" spans="1:18" x14ac:dyDescent="0.3">
      <c r="A196" t="s">
        <v>22</v>
      </c>
      <c r="B196">
        <v>25</v>
      </c>
      <c r="C196">
        <v>4</v>
      </c>
      <c r="D196" s="7" t="s">
        <v>171</v>
      </c>
      <c r="E196" s="7" t="s">
        <v>172</v>
      </c>
      <c r="F196" s="7" t="s">
        <v>408</v>
      </c>
      <c r="G196" s="7" t="s">
        <v>286</v>
      </c>
      <c r="H196" s="35"/>
      <c r="I196" s="35" t="s">
        <v>287</v>
      </c>
      <c r="J196" s="35" t="s">
        <v>30</v>
      </c>
      <c r="K196" s="35" t="s">
        <v>289</v>
      </c>
      <c r="L196" s="7" t="s">
        <v>308</v>
      </c>
      <c r="M196" s="41">
        <v>30.41</v>
      </c>
      <c r="N196" t="str">
        <f>+VLOOKUP(D196,'DISPOSITIVOS ACTIVOS'!B:D,3,FALSE)</f>
        <v>Iphone</v>
      </c>
      <c r="O196" t="str">
        <f>+VLOOKUP(D196,'DISPOSITIVOS ACTIVOS'!B:G,6,FALSE)</f>
        <v>QUEVEDO, NAIROVI Y</v>
      </c>
      <c r="P196" t="str">
        <f>+VLOOKUP(D196,'DISPOSITIVOS ACTIVOS'!$B$1:$H$299,7,FALSE)</f>
        <v>SALES WEST</v>
      </c>
      <c r="Q196" t="str">
        <f>IFERROR(+VLOOKUP(D196,'[1]Migracion feb25 Ver to ATT'!$B:$B,1,FALSE), "NO")</f>
        <v>NO</v>
      </c>
      <c r="R196" s="26">
        <f t="shared" si="7"/>
        <v>25</v>
      </c>
    </row>
    <row r="197" spans="1:18" x14ac:dyDescent="0.3">
      <c r="A197" t="s">
        <v>22</v>
      </c>
      <c r="B197">
        <v>25</v>
      </c>
      <c r="C197">
        <v>4</v>
      </c>
      <c r="D197" s="42" t="s">
        <v>409</v>
      </c>
      <c r="E197" s="42" t="s">
        <v>410</v>
      </c>
      <c r="F197" s="7" t="s">
        <v>411</v>
      </c>
      <c r="G197" s="35" t="s">
        <v>412</v>
      </c>
      <c r="H197" s="35"/>
      <c r="I197" s="7" t="s">
        <v>30</v>
      </c>
      <c r="J197" s="35" t="s">
        <v>30</v>
      </c>
      <c r="K197" s="35" t="s">
        <v>413</v>
      </c>
      <c r="L197" s="7" t="s">
        <v>414</v>
      </c>
      <c r="M197">
        <v>1.3</v>
      </c>
      <c r="N197" s="4" t="s">
        <v>191</v>
      </c>
      <c r="O197" t="str">
        <f>+VLOOKUP(D197,'DISPOSITIVOS ACTIVOS'!B:G,6,FALSE)</f>
        <v>DSD IPHONE ALABAMA</v>
      </c>
      <c r="P197" t="str">
        <f>+VLOOKUP(D197,'DISPOSITIVOS ACTIVOS'!$B$1:$H$299,7,FALSE)</f>
        <v>SALES RITEFILL DSD SOUTH</v>
      </c>
      <c r="Q197" t="str">
        <f>IFERROR(+VLOOKUP(D197,'[1]Migracion feb25 Ver to ATT'!$B:$B,1,FALSE), "NO")</f>
        <v>NO</v>
      </c>
      <c r="R197" s="26">
        <f>+M197</f>
        <v>1.3</v>
      </c>
    </row>
    <row r="198" spans="1:18" x14ac:dyDescent="0.3">
      <c r="A198" t="s">
        <v>22</v>
      </c>
      <c r="B198">
        <v>25</v>
      </c>
      <c r="C198">
        <v>4</v>
      </c>
      <c r="D198" s="42" t="s">
        <v>415</v>
      </c>
      <c r="E198" s="42" t="s">
        <v>301</v>
      </c>
      <c r="F198" s="7" t="s">
        <v>416</v>
      </c>
      <c r="G198" s="35" t="s">
        <v>412</v>
      </c>
      <c r="H198" s="35"/>
      <c r="I198" s="7" t="s">
        <v>30</v>
      </c>
      <c r="J198" s="35" t="s">
        <v>30</v>
      </c>
      <c r="K198" s="35" t="s">
        <v>413</v>
      </c>
      <c r="L198" s="7" t="s">
        <v>414</v>
      </c>
      <c r="M198">
        <v>1.3</v>
      </c>
      <c r="N198" s="4" t="s">
        <v>191</v>
      </c>
      <c r="O198" t="str">
        <f>+VLOOKUP(D198,'DISPOSITIVOS ACTIVOS'!B:G,6,FALSE)</f>
        <v>AMALIA BENOCMO</v>
      </c>
      <c r="P198" t="str">
        <f>+VLOOKUP(D198,'DISPOSITIVOS ACTIVOS'!$B$1:$H$299,7,FALSE)</f>
        <v>SALES CENTRAL</v>
      </c>
      <c r="Q198" t="str">
        <f>IFERROR(+VLOOKUP(D198,'[1]Migracion feb25 Ver to ATT'!$B:$B,1,FALSE), "NO")</f>
        <v>NO</v>
      </c>
      <c r="R198" s="26">
        <f>+M198</f>
        <v>1.3</v>
      </c>
    </row>
    <row r="199" spans="1:18" x14ac:dyDescent="0.3">
      <c r="A199" t="s">
        <v>22</v>
      </c>
      <c r="B199">
        <v>25</v>
      </c>
      <c r="C199">
        <v>4</v>
      </c>
      <c r="D199" s="42" t="s">
        <v>417</v>
      </c>
      <c r="E199" s="42" t="s">
        <v>418</v>
      </c>
      <c r="F199" s="7" t="s">
        <v>419</v>
      </c>
      <c r="G199" s="7" t="s">
        <v>420</v>
      </c>
      <c r="H199" s="35"/>
      <c r="I199" s="35" t="s">
        <v>297</v>
      </c>
      <c r="J199" s="35" t="s">
        <v>30</v>
      </c>
      <c r="K199" s="35" t="s">
        <v>264</v>
      </c>
      <c r="L199" s="7" t="s">
        <v>30</v>
      </c>
      <c r="M199">
        <v>25.75</v>
      </c>
      <c r="N199" s="4" t="s">
        <v>114</v>
      </c>
      <c r="O199" t="str">
        <f>+VLOOKUP(D199,'DISPOSITIVOS ACTIVOS'!B:G,6,FALSE)</f>
        <v>MACHIN BENCOMO, AMALIA</v>
      </c>
      <c r="P199" t="str">
        <f>+VLOOKUP(D199,'DISPOSITIVOS ACTIVOS'!$B$1:$H$299,7,FALSE)</f>
        <v>SALES CENTRAL</v>
      </c>
      <c r="Q199" t="str">
        <f>IFERROR(+VLOOKUP(D199,'[1]Migracion feb25 Ver to ATT'!$B:$B,1,FALSE), "NO")</f>
        <v>NO</v>
      </c>
      <c r="R199" s="26">
        <f t="shared" si="7"/>
        <v>25</v>
      </c>
    </row>
    <row r="200" spans="1:18" x14ac:dyDescent="0.3">
      <c r="A200" t="s">
        <v>22</v>
      </c>
      <c r="B200">
        <v>25</v>
      </c>
      <c r="C200">
        <v>4</v>
      </c>
      <c r="D200" s="42" t="s">
        <v>421</v>
      </c>
      <c r="E200" s="42" t="s">
        <v>422</v>
      </c>
      <c r="F200" s="7" t="s">
        <v>423</v>
      </c>
      <c r="G200" s="35" t="s">
        <v>424</v>
      </c>
      <c r="H200" s="35"/>
      <c r="I200" s="7" t="s">
        <v>297</v>
      </c>
      <c r="J200" s="35" t="s">
        <v>30</v>
      </c>
      <c r="K200" s="35" t="s">
        <v>264</v>
      </c>
      <c r="L200" s="7" t="s">
        <v>30</v>
      </c>
      <c r="M200" s="41">
        <v>86.22</v>
      </c>
      <c r="N200" s="4" t="s">
        <v>191</v>
      </c>
      <c r="O200" t="str">
        <f>+VLOOKUP(D200,'DISPOSITIVOS ACTIVOS'!B:G,6,FALSE)</f>
        <v>RENYA VIVAS DSD</v>
      </c>
      <c r="P200" t="str">
        <f>+VLOOKUP(D200,'DISPOSITIVOS ACTIVOS'!$B$1:$H$299,7,FALSE)</f>
        <v>SALES RITEFILL DSD WEST</v>
      </c>
      <c r="Q200" t="str">
        <f>IFERROR(+VLOOKUP(D200,'[1]Migracion feb25 Ver to ATT'!$B:$B,1,FALSE), "NO")</f>
        <v>NO</v>
      </c>
      <c r="R200" s="26">
        <f t="shared" si="7"/>
        <v>25</v>
      </c>
    </row>
    <row r="201" spans="1:18" x14ac:dyDescent="0.3">
      <c r="A201" t="s">
        <v>22</v>
      </c>
      <c r="B201">
        <v>25</v>
      </c>
      <c r="C201">
        <v>4</v>
      </c>
      <c r="D201" s="7" t="s">
        <v>173</v>
      </c>
      <c r="E201" s="7" t="s">
        <v>174</v>
      </c>
      <c r="F201" s="7" t="s">
        <v>425</v>
      </c>
      <c r="G201" s="35" t="s">
        <v>286</v>
      </c>
      <c r="H201" s="35"/>
      <c r="I201" s="7" t="s">
        <v>287</v>
      </c>
      <c r="J201" s="35" t="s">
        <v>288</v>
      </c>
      <c r="K201" s="35" t="s">
        <v>289</v>
      </c>
      <c r="L201" s="7" t="s">
        <v>308</v>
      </c>
      <c r="M201" s="41">
        <v>35.409999999999997</v>
      </c>
      <c r="N201" t="str">
        <f>+VLOOKUP(D201,'DISPOSITIVOS ACTIVOS'!B:D,3,FALSE)</f>
        <v>Iphone</v>
      </c>
      <c r="O201" t="str">
        <f>+VLOOKUP(D201,'DISPOSITIVOS ACTIVOS'!B:G,6,FALSE)</f>
        <v>PALENCIA RODRIGUEZ, LEONARDO R</v>
      </c>
      <c r="P201" t="str">
        <f>+VLOOKUP(D201,'DISPOSITIVOS ACTIVOS'!$B$1:$H$299,7,FALSE)</f>
        <v>SALES CENTRAL</v>
      </c>
      <c r="Q201" t="str">
        <f>IFERROR(+VLOOKUP(D201,'[1]Migracion feb25 Ver to ATT'!$B:$B,1,FALSE), "NO")</f>
        <v>NO</v>
      </c>
      <c r="R201" s="26">
        <f t="shared" si="7"/>
        <v>25</v>
      </c>
    </row>
    <row r="202" spans="1:18" x14ac:dyDescent="0.3">
      <c r="A202" t="s">
        <v>22</v>
      </c>
      <c r="B202">
        <v>25</v>
      </c>
      <c r="C202">
        <v>4</v>
      </c>
      <c r="D202" s="7" t="s">
        <v>175</v>
      </c>
      <c r="E202" s="7" t="s">
        <v>176</v>
      </c>
      <c r="F202" s="7" t="s">
        <v>426</v>
      </c>
      <c r="G202" s="7" t="s">
        <v>335</v>
      </c>
      <c r="H202" s="35"/>
      <c r="I202" s="35" t="s">
        <v>287</v>
      </c>
      <c r="J202" s="35" t="s">
        <v>30</v>
      </c>
      <c r="K202" s="35" t="s">
        <v>292</v>
      </c>
      <c r="L202" s="7" t="s">
        <v>293</v>
      </c>
      <c r="M202">
        <v>13.37</v>
      </c>
      <c r="N202" t="str">
        <f>+VLOOKUP(D202,'DISPOSITIVOS ACTIVOS'!B:D,3,FALSE)</f>
        <v xml:space="preserve">Galaxy </v>
      </c>
      <c r="O202" t="str">
        <f>+VLOOKUP(D202,'DISPOSITIVOS ACTIVOS'!B:G,6,FALSE)</f>
        <v>PEREZ, YULIER</v>
      </c>
      <c r="P202" t="str">
        <f>+VLOOKUP(D202,'DISPOSITIVOS ACTIVOS'!$B$1:$H$299,7,FALSE)</f>
        <v>LOGISTICS CENTRAL</v>
      </c>
      <c r="Q202" t="str">
        <f>IFERROR(+VLOOKUP(D202,'[1]Migracion feb25 Ver to ATT'!$B:$B,1,FALSE), "NO")</f>
        <v>615-830-4944</v>
      </c>
      <c r="R202" s="26">
        <f t="shared" si="7"/>
        <v>15</v>
      </c>
    </row>
    <row r="203" spans="1:18" x14ac:dyDescent="0.3">
      <c r="A203" t="s">
        <v>22</v>
      </c>
      <c r="B203">
        <v>25</v>
      </c>
      <c r="C203">
        <v>4</v>
      </c>
      <c r="D203" s="7" t="s">
        <v>177</v>
      </c>
      <c r="E203" s="7" t="s">
        <v>178</v>
      </c>
      <c r="F203" s="7" t="s">
        <v>427</v>
      </c>
      <c r="G203" s="35" t="s">
        <v>428</v>
      </c>
      <c r="H203" s="35"/>
      <c r="I203" s="7" t="s">
        <v>287</v>
      </c>
      <c r="J203" s="35" t="s">
        <v>30</v>
      </c>
      <c r="K203" s="35" t="s">
        <v>429</v>
      </c>
      <c r="L203" s="7" t="s">
        <v>430</v>
      </c>
      <c r="M203" s="41">
        <v>28.7</v>
      </c>
      <c r="N203" t="str">
        <f>+VLOOKUP(D203,'DISPOSITIVOS ACTIVOS'!B:D,3,FALSE)</f>
        <v>Iphone</v>
      </c>
      <c r="O203" t="str">
        <f>+VLOOKUP(D203,'DISPOSITIVOS ACTIVOS'!B:G,6,FALSE)</f>
        <v>QUIJANO, NICOLAS</v>
      </c>
      <c r="P203" t="str">
        <f>+VLOOKUP(D203,'DISPOSITIVOS ACTIVOS'!$B$1:$H$299,7,FALSE)</f>
        <v>CFO</v>
      </c>
      <c r="Q203" t="str">
        <f>IFERROR(+VLOOKUP(D203,'[1]Migracion feb25 Ver to ATT'!$B:$B,1,FALSE), "NO")</f>
        <v>NO</v>
      </c>
      <c r="R203" s="26">
        <f t="shared" si="7"/>
        <v>25</v>
      </c>
    </row>
    <row r="204" spans="1:18" x14ac:dyDescent="0.3">
      <c r="A204" t="s">
        <v>22</v>
      </c>
      <c r="B204">
        <v>25</v>
      </c>
      <c r="C204">
        <v>4</v>
      </c>
      <c r="D204" s="7" t="s">
        <v>179</v>
      </c>
      <c r="E204" s="7" t="s">
        <v>180</v>
      </c>
      <c r="F204" s="7" t="s">
        <v>431</v>
      </c>
      <c r="G204" s="35" t="s">
        <v>371</v>
      </c>
      <c r="H204" s="35"/>
      <c r="I204" s="7" t="s">
        <v>287</v>
      </c>
      <c r="J204" s="35" t="s">
        <v>30</v>
      </c>
      <c r="K204" s="35" t="s">
        <v>432</v>
      </c>
      <c r="L204" s="7" t="s">
        <v>433</v>
      </c>
      <c r="M204" s="41">
        <v>48.99</v>
      </c>
      <c r="N204" t="str">
        <f>+VLOOKUP(D204,'DISPOSITIVOS ACTIVOS'!B:D,3,FALSE)</f>
        <v>Iphone</v>
      </c>
      <c r="O204" t="str">
        <f>+VLOOKUP(D204,'DISPOSITIVOS ACTIVOS'!B:G,6,FALSE)</f>
        <v>PEREZ HERNANDEZ, NAYRE</v>
      </c>
      <c r="P204" t="str">
        <f>+VLOOKUP(D204,'DISPOSITIVOS ACTIVOS'!$B$1:$H$299,7,FALSE)</f>
        <v>SALES CENTRAL</v>
      </c>
      <c r="Q204" t="str">
        <f>IFERROR(+VLOOKUP(D204,'[1]Migracion feb25 Ver to ATT'!$B:$B,1,FALSE), "NO")</f>
        <v>615-840-0789</v>
      </c>
      <c r="R204" s="26">
        <f t="shared" si="7"/>
        <v>15</v>
      </c>
    </row>
    <row r="205" spans="1:18" x14ac:dyDescent="0.3">
      <c r="A205" t="s">
        <v>22</v>
      </c>
      <c r="B205">
        <v>25</v>
      </c>
      <c r="C205">
        <v>4</v>
      </c>
      <c r="D205" s="7" t="s">
        <v>181</v>
      </c>
      <c r="E205" s="7" t="s">
        <v>182</v>
      </c>
      <c r="F205" s="7" t="s">
        <v>434</v>
      </c>
      <c r="G205" s="7" t="s">
        <v>286</v>
      </c>
      <c r="H205" s="35"/>
      <c r="I205" s="35" t="s">
        <v>287</v>
      </c>
      <c r="J205" s="35" t="s">
        <v>30</v>
      </c>
      <c r="K205" s="35" t="s">
        <v>292</v>
      </c>
      <c r="L205" s="7" t="s">
        <v>293</v>
      </c>
      <c r="M205" s="41">
        <v>31.7</v>
      </c>
      <c r="N205" t="str">
        <f>+VLOOKUP(D205,'DISPOSITIVOS ACTIVOS'!B:D,3,FALSE)</f>
        <v>Iphone</v>
      </c>
      <c r="O205" t="str">
        <f>+VLOOKUP(D205,'DISPOSITIVOS ACTIVOS'!B:G,6,FALSE)</f>
        <v>ROA, INGRID MARCELA</v>
      </c>
      <c r="P205" t="str">
        <f>+VLOOKUP(D205,'DISPOSITIVOS ACTIVOS'!$B$1:$H$299,7,FALSE)</f>
        <v>SALES SOUTH</v>
      </c>
      <c r="Q205" t="str">
        <f>IFERROR(+VLOOKUP(D205,'[1]Migracion feb25 Ver to ATT'!$B:$B,1,FALSE), "NO")</f>
        <v>615-854-5649</v>
      </c>
      <c r="R205" s="26">
        <f t="shared" si="7"/>
        <v>15</v>
      </c>
    </row>
    <row r="206" spans="1:18" x14ac:dyDescent="0.3">
      <c r="A206" t="s">
        <v>22</v>
      </c>
      <c r="B206">
        <v>25</v>
      </c>
      <c r="C206">
        <v>4</v>
      </c>
      <c r="D206" s="7" t="s">
        <v>183</v>
      </c>
      <c r="E206" s="7" t="s">
        <v>184</v>
      </c>
      <c r="F206" s="7" t="s">
        <v>435</v>
      </c>
      <c r="G206" s="35" t="s">
        <v>286</v>
      </c>
      <c r="H206" s="35"/>
      <c r="I206" s="7" t="s">
        <v>287</v>
      </c>
      <c r="J206" s="35" t="s">
        <v>30</v>
      </c>
      <c r="K206" s="35" t="s">
        <v>292</v>
      </c>
      <c r="L206" s="7" t="s">
        <v>293</v>
      </c>
      <c r="M206" s="41">
        <v>31.7</v>
      </c>
      <c r="N206" t="str">
        <f>+VLOOKUP(D206,'DISPOSITIVOS ACTIVOS'!B:D,3,FALSE)</f>
        <v>Iphone</v>
      </c>
      <c r="O206" t="str">
        <f>+VLOOKUP(D206,'DISPOSITIVOS ACTIVOS'!B:G,6,FALSE)</f>
        <v>TORREALBA TORRES, CAROLINA</v>
      </c>
      <c r="P206" t="str">
        <f>+VLOOKUP(D206,'DISPOSITIVOS ACTIVOS'!$B$1:$H$299,7,FALSE)</f>
        <v>SALES WEST</v>
      </c>
      <c r="Q206" t="str">
        <f>IFERROR(+VLOOKUP(D206,'[1]Migracion feb25 Ver to ATT'!$B:$B,1,FALSE), "NO")</f>
        <v>615-854-5797</v>
      </c>
      <c r="R206" s="26">
        <f t="shared" si="7"/>
        <v>15</v>
      </c>
    </row>
    <row r="207" spans="1:18" x14ac:dyDescent="0.3">
      <c r="A207" t="s">
        <v>22</v>
      </c>
      <c r="B207">
        <v>25</v>
      </c>
      <c r="C207">
        <v>4</v>
      </c>
      <c r="D207" s="7" t="s">
        <v>185</v>
      </c>
      <c r="E207" s="7" t="s">
        <v>186</v>
      </c>
      <c r="F207" s="7" t="s">
        <v>436</v>
      </c>
      <c r="G207" s="35" t="s">
        <v>335</v>
      </c>
      <c r="H207" s="35"/>
      <c r="I207" s="7" t="s">
        <v>287</v>
      </c>
      <c r="J207" s="35" t="s">
        <v>30</v>
      </c>
      <c r="K207" s="35" t="s">
        <v>292</v>
      </c>
      <c r="L207" s="7" t="s">
        <v>293</v>
      </c>
      <c r="M207">
        <v>13.37</v>
      </c>
      <c r="N207" t="str">
        <f>+VLOOKUP(D207,'DISPOSITIVOS ACTIVOS'!B:D,3,FALSE)</f>
        <v xml:space="preserve">Galaxy </v>
      </c>
      <c r="O207" t="str">
        <f>+VLOOKUP(D207,'DISPOSITIVOS ACTIVOS'!B:G,6,FALSE)</f>
        <v>TANGREDI, JORGE</v>
      </c>
      <c r="P207" t="str">
        <f>+VLOOKUP(D207,'DISPOSITIVOS ACTIVOS'!$B$1:$H$299,7,FALSE)</f>
        <v>LOGISTICS CENTRAL</v>
      </c>
      <c r="Q207" t="str">
        <f>IFERROR(+VLOOKUP(D207,'[1]Migracion feb25 Ver to ATT'!$B:$B,1,FALSE), "NO")</f>
        <v>615-862-1976</v>
      </c>
      <c r="R207" s="26">
        <f t="shared" si="7"/>
        <v>15</v>
      </c>
    </row>
    <row r="208" spans="1:18" x14ac:dyDescent="0.3">
      <c r="A208" t="s">
        <v>22</v>
      </c>
      <c r="B208">
        <v>25</v>
      </c>
      <c r="C208">
        <v>4</v>
      </c>
      <c r="D208" s="7" t="s">
        <v>187</v>
      </c>
      <c r="E208" s="7" t="s">
        <v>188</v>
      </c>
      <c r="F208" s="7" t="s">
        <v>437</v>
      </c>
      <c r="G208" s="7" t="s">
        <v>286</v>
      </c>
      <c r="H208" s="35"/>
      <c r="I208" s="35" t="s">
        <v>287</v>
      </c>
      <c r="J208" s="35" t="s">
        <v>30</v>
      </c>
      <c r="K208" s="35" t="s">
        <v>289</v>
      </c>
      <c r="L208" s="7" t="s">
        <v>308</v>
      </c>
      <c r="M208" s="41">
        <v>30.41</v>
      </c>
      <c r="N208" t="str">
        <f>+VLOOKUP(D208,'DISPOSITIVOS ACTIVOS'!B:D,3,FALSE)</f>
        <v>Galaxy</v>
      </c>
      <c r="O208" t="str">
        <f>+VLOOKUP(D208,'DISPOSITIVOS ACTIVOS'!B:G,6,FALSE)</f>
        <v>BAHENA, RUDY</v>
      </c>
      <c r="P208" t="str">
        <f>+VLOOKUP(D208,'DISPOSITIVOS ACTIVOS'!$B$1:$H$299,7,FALSE)</f>
        <v>LOGISTICS WEST</v>
      </c>
      <c r="Q208" t="str">
        <f>IFERROR(+VLOOKUP(D208,'[1]Migracion feb25 Ver to ATT'!$B:$B,1,FALSE), "NO")</f>
        <v>NO</v>
      </c>
      <c r="R208" s="26">
        <f t="shared" si="7"/>
        <v>25</v>
      </c>
    </row>
    <row r="209" spans="1:18" x14ac:dyDescent="0.3">
      <c r="A209" t="s">
        <v>22</v>
      </c>
      <c r="B209">
        <v>25</v>
      </c>
      <c r="C209">
        <v>4</v>
      </c>
      <c r="D209" s="7" t="s">
        <v>189</v>
      </c>
      <c r="E209" s="7" t="s">
        <v>190</v>
      </c>
      <c r="F209" s="7" t="s">
        <v>438</v>
      </c>
      <c r="G209" s="35" t="s">
        <v>286</v>
      </c>
      <c r="H209" s="35"/>
      <c r="I209" s="7" t="s">
        <v>287</v>
      </c>
      <c r="J209" s="35" t="s">
        <v>30</v>
      </c>
      <c r="K209" s="35" t="s">
        <v>292</v>
      </c>
      <c r="L209" s="7" t="s">
        <v>293</v>
      </c>
      <c r="M209" s="41">
        <v>31.7</v>
      </c>
      <c r="N209" s="4" t="s">
        <v>40</v>
      </c>
      <c r="O209" t="str">
        <f>+VLOOKUP(D209,'DISPOSITIVOS ACTIVOS'!B:G,6,FALSE)</f>
        <v>TORRES, LUIS</v>
      </c>
      <c r="P209" t="str">
        <f>+VLOOKUP(D209,'DISPOSITIVOS ACTIVOS'!$B$1:$H$299,7,FALSE)</f>
        <v>MERCHANDISER NORTH</v>
      </c>
      <c r="Q209" t="str">
        <f>IFERROR(+VLOOKUP(D209,'[1]Migracion feb25 Ver to ATT'!$B:$B,1,FALSE), "NO")</f>
        <v>615-878-0405</v>
      </c>
      <c r="R209" s="26">
        <f t="shared" si="7"/>
        <v>15</v>
      </c>
    </row>
    <row r="210" spans="1:18" x14ac:dyDescent="0.3">
      <c r="A210" t="s">
        <v>22</v>
      </c>
      <c r="B210">
        <v>25</v>
      </c>
      <c r="C210">
        <v>4</v>
      </c>
      <c r="D210" s="7" t="s">
        <v>192</v>
      </c>
      <c r="E210" s="7" t="s">
        <v>166</v>
      </c>
      <c r="F210" s="7" t="s">
        <v>439</v>
      </c>
      <c r="G210" s="35" t="s">
        <v>335</v>
      </c>
      <c r="H210" s="35"/>
      <c r="I210" s="7" t="s">
        <v>287</v>
      </c>
      <c r="J210" s="35" t="s">
        <v>30</v>
      </c>
      <c r="K210" s="35" t="s">
        <v>292</v>
      </c>
      <c r="L210" s="7" t="s">
        <v>293</v>
      </c>
      <c r="M210">
        <v>13.37</v>
      </c>
      <c r="N210" t="str">
        <f>+VLOOKUP(D210,'DISPOSITIVOS ACTIVOS'!B:D,3,FALSE)</f>
        <v xml:space="preserve">Galaxy </v>
      </c>
      <c r="O210" t="str">
        <f>+VLOOKUP(D210,'DISPOSITIVOS ACTIVOS'!B:G,6,FALSE)</f>
        <v>FUENMAYOR, ANDRES</v>
      </c>
      <c r="P210" t="str">
        <f>+VLOOKUP(D210,'DISPOSITIVOS ACTIVOS'!$B$1:$H$299,7,FALSE)</f>
        <v>LOGISTICS CENTRAL</v>
      </c>
      <c r="Q210" t="str">
        <f>IFERROR(+VLOOKUP(D210,'[1]Migracion feb25 Ver to ATT'!$B:$B,1,FALSE), "NO")</f>
        <v>615-879-8762</v>
      </c>
      <c r="R210" s="26">
        <f t="shared" si="7"/>
        <v>15</v>
      </c>
    </row>
    <row r="211" spans="1:18" x14ac:dyDescent="0.3">
      <c r="A211" t="s">
        <v>22</v>
      </c>
      <c r="B211">
        <v>25</v>
      </c>
      <c r="C211">
        <v>4</v>
      </c>
      <c r="D211" s="7" t="s">
        <v>195</v>
      </c>
      <c r="E211" s="7" t="s">
        <v>196</v>
      </c>
      <c r="F211" s="7" t="s">
        <v>440</v>
      </c>
      <c r="G211" s="7" t="s">
        <v>335</v>
      </c>
      <c r="H211" s="35"/>
      <c r="I211" s="35" t="s">
        <v>287</v>
      </c>
      <c r="J211" s="35" t="s">
        <v>30</v>
      </c>
      <c r="K211" s="35" t="s">
        <v>292</v>
      </c>
      <c r="L211" s="7" t="s">
        <v>293</v>
      </c>
      <c r="M211">
        <v>13.37</v>
      </c>
      <c r="N211" t="str">
        <f>+VLOOKUP(D211,'DISPOSITIVOS ACTIVOS'!B:D,3,FALSE)</f>
        <v xml:space="preserve">Galaxy </v>
      </c>
      <c r="O211" t="str">
        <f>+VLOOKUP(D211,'DISPOSITIVOS ACTIVOS'!B:G,6,FALSE)</f>
        <v>BAHENA, RUDY</v>
      </c>
      <c r="P211" t="str">
        <f>+VLOOKUP(D211,'DISPOSITIVOS ACTIVOS'!$B$1:$H$299,7,FALSE)</f>
        <v>LOGISTICS WEST</v>
      </c>
      <c r="Q211" t="str">
        <f>IFERROR(+VLOOKUP(D211,'[1]Migracion feb25 Ver to ATT'!$B:$B,1,FALSE), "NO")</f>
        <v>615-906-5129</v>
      </c>
      <c r="R211" s="26">
        <f t="shared" si="7"/>
        <v>15</v>
      </c>
    </row>
    <row r="212" spans="1:18" x14ac:dyDescent="0.3">
      <c r="A212" t="s">
        <v>22</v>
      </c>
      <c r="B212">
        <v>25</v>
      </c>
      <c r="C212">
        <v>4</v>
      </c>
      <c r="D212" s="7" t="s">
        <v>197</v>
      </c>
      <c r="E212" s="7" t="s">
        <v>198</v>
      </c>
      <c r="F212" s="7" t="s">
        <v>441</v>
      </c>
      <c r="G212" s="35" t="s">
        <v>442</v>
      </c>
      <c r="H212" s="35"/>
      <c r="I212" s="7" t="s">
        <v>30</v>
      </c>
      <c r="J212" s="35" t="s">
        <v>30</v>
      </c>
      <c r="K212" s="35" t="s">
        <v>443</v>
      </c>
      <c r="L212" s="7" t="s">
        <v>443</v>
      </c>
      <c r="M212">
        <v>-37.32</v>
      </c>
      <c r="N212" s="4" t="s">
        <v>40</v>
      </c>
      <c r="O212" t="e">
        <f>+VLOOKUP(D212,'DISPOSITIVOS ACTIVOS'!B:G,6,FALSE)</f>
        <v>#N/A</v>
      </c>
      <c r="P212" t="e">
        <f>+VLOOKUP(D212,'DISPOSITIVOS ACTIVOS'!$B$1:$H$299,7,FALSE)</f>
        <v>#N/A</v>
      </c>
      <c r="Q212" t="str">
        <f>IFERROR(+VLOOKUP(D212,'[1]Migracion feb25 Ver to ATT'!$B:$B,1,FALSE), "NO")</f>
        <v>NO</v>
      </c>
      <c r="R212" s="26">
        <f>+M212</f>
        <v>-37.32</v>
      </c>
    </row>
    <row r="213" spans="1:18" x14ac:dyDescent="0.3">
      <c r="A213" t="s">
        <v>22</v>
      </c>
      <c r="B213">
        <v>25</v>
      </c>
      <c r="C213">
        <v>4</v>
      </c>
      <c r="D213" s="7" t="s">
        <v>199</v>
      </c>
      <c r="E213" s="7" t="s">
        <v>116</v>
      </c>
      <c r="F213" s="7" t="s">
        <v>444</v>
      </c>
      <c r="G213" s="35" t="s">
        <v>286</v>
      </c>
      <c r="H213" s="35"/>
      <c r="I213" s="7" t="s">
        <v>287</v>
      </c>
      <c r="J213" s="35" t="s">
        <v>30</v>
      </c>
      <c r="K213" s="35" t="s">
        <v>292</v>
      </c>
      <c r="L213" s="7" t="s">
        <v>293</v>
      </c>
      <c r="M213" s="41">
        <v>31.7</v>
      </c>
      <c r="N213" t="str">
        <f>+VLOOKUP(D213,'DISPOSITIVOS ACTIVOS'!B:D,3,FALSE)</f>
        <v>Iphone</v>
      </c>
      <c r="O213" t="str">
        <f>+VLOOKUP(D213,'DISPOSITIVOS ACTIVOS'!B:G,6,FALSE)</f>
        <v>CARDOZO, ALBERT YVAN</v>
      </c>
      <c r="P213" t="str">
        <f>+VLOOKUP(D213,'DISPOSITIVOS ACTIVOS'!$B$1:$H$299,7,FALSE)</f>
        <v>SALES RITEFILL DSD CENTRAL</v>
      </c>
      <c r="Q213" t="str">
        <f>IFERROR(+VLOOKUP(D213,'[1]Migracion feb25 Ver to ATT'!$B:$B,1,FALSE), "NO")</f>
        <v>615-939-8241</v>
      </c>
      <c r="R213" s="26">
        <f t="shared" si="7"/>
        <v>15</v>
      </c>
    </row>
    <row r="214" spans="1:18" x14ac:dyDescent="0.3">
      <c r="A214" t="s">
        <v>22</v>
      </c>
      <c r="B214">
        <v>25</v>
      </c>
      <c r="C214">
        <v>4</v>
      </c>
      <c r="D214" s="7" t="s">
        <v>200</v>
      </c>
      <c r="E214" s="7" t="s">
        <v>201</v>
      </c>
      <c r="F214" s="7" t="s">
        <v>445</v>
      </c>
      <c r="G214" s="7" t="s">
        <v>286</v>
      </c>
      <c r="H214" s="35"/>
      <c r="I214" s="35" t="s">
        <v>287</v>
      </c>
      <c r="J214" s="35" t="s">
        <v>30</v>
      </c>
      <c r="K214" s="35" t="s">
        <v>289</v>
      </c>
      <c r="L214" s="7" t="s">
        <v>308</v>
      </c>
      <c r="M214" s="41">
        <v>30.41</v>
      </c>
      <c r="N214" t="str">
        <f>+VLOOKUP(D214,'DISPOSITIVOS ACTIVOS'!B:D,3,FALSE)</f>
        <v>Galaxy</v>
      </c>
      <c r="O214" t="str">
        <f>+VLOOKUP(D214,'DISPOSITIVOS ACTIVOS'!B:G,6,FALSE)</f>
        <v>CASTILLO DUARTE, JOSE EDUARDO</v>
      </c>
      <c r="P214" t="str">
        <f>+VLOOKUP(D214,'DISPOSITIVOS ACTIVOS'!$B$1:$H$299,7,FALSE)</f>
        <v>Finance</v>
      </c>
      <c r="Q214" t="str">
        <f>IFERROR(+VLOOKUP(D214,'[1]Migracion feb25 Ver to ATT'!$B:$B,1,FALSE), "NO")</f>
        <v>NO</v>
      </c>
      <c r="R214" s="26">
        <f t="shared" si="7"/>
        <v>25</v>
      </c>
    </row>
    <row r="215" spans="1:18" x14ac:dyDescent="0.3">
      <c r="A215" t="s">
        <v>22</v>
      </c>
      <c r="B215">
        <v>25</v>
      </c>
      <c r="C215">
        <v>4</v>
      </c>
      <c r="D215" s="7" t="s">
        <v>45</v>
      </c>
      <c r="E215" s="7" t="s">
        <v>46</v>
      </c>
      <c r="F215" s="7" t="s">
        <v>446</v>
      </c>
      <c r="G215" s="35" t="s">
        <v>296</v>
      </c>
      <c r="H215" s="35"/>
      <c r="I215" s="7" t="s">
        <v>297</v>
      </c>
      <c r="J215" s="35" t="s">
        <v>30</v>
      </c>
      <c r="K215" s="35" t="s">
        <v>264</v>
      </c>
      <c r="L215" s="7" t="s">
        <v>30</v>
      </c>
      <c r="M215" s="41">
        <v>30.75</v>
      </c>
      <c r="N215" t="str">
        <f>+VLOOKUP(D215,'DISPOSITIVOS ACTIVOS'!B:D,3,FALSE)</f>
        <v>Ipad</v>
      </c>
      <c r="O215" t="str">
        <f>+VLOOKUP(D215,'DISPOSITIVOS ACTIVOS'!B:G,6,FALSE)</f>
        <v>PALENCIA RODRIGUEZ, LEONARDO R</v>
      </c>
      <c r="P215" t="str">
        <f>+VLOOKUP(D215,'DISPOSITIVOS ACTIVOS'!$B$1:$H$299,7,FALSE)</f>
        <v>SALES CENTRAL</v>
      </c>
      <c r="Q215" t="str">
        <f>IFERROR(+VLOOKUP(D215,'[1]Migracion feb25 Ver to ATT'!$B:$B,1,FALSE), "NO")</f>
        <v>NO</v>
      </c>
      <c r="R215" s="26">
        <f t="shared" si="7"/>
        <v>25</v>
      </c>
    </row>
    <row r="216" spans="1:18" x14ac:dyDescent="0.3">
      <c r="A216" t="s">
        <v>22</v>
      </c>
      <c r="B216">
        <v>25</v>
      </c>
      <c r="C216">
        <v>4</v>
      </c>
      <c r="D216" s="7" t="s">
        <v>43</v>
      </c>
      <c r="E216" s="7" t="s">
        <v>44</v>
      </c>
      <c r="F216" s="7" t="s">
        <v>447</v>
      </c>
      <c r="G216" s="35" t="s">
        <v>296</v>
      </c>
      <c r="H216" s="35"/>
      <c r="I216" s="7" t="s">
        <v>297</v>
      </c>
      <c r="J216" s="35" t="s">
        <v>30</v>
      </c>
      <c r="K216" s="35" t="s">
        <v>264</v>
      </c>
      <c r="L216" s="7" t="s">
        <v>30</v>
      </c>
      <c r="M216" s="41">
        <v>30.75</v>
      </c>
      <c r="N216" t="str">
        <f>+VLOOKUP(D216,'DISPOSITIVOS ACTIVOS'!B:D,3,FALSE)</f>
        <v>Ipad</v>
      </c>
      <c r="O216" t="str">
        <f>+VLOOKUP(D216,'DISPOSITIVOS ACTIVOS'!B:G,6,FALSE)</f>
        <v>TELLO, IVAN E</v>
      </c>
      <c r="P216" t="str">
        <f>+VLOOKUP(D216,'DISPOSITIVOS ACTIVOS'!$B$1:$H$299,7,FALSE)</f>
        <v>SALES CENTRAL</v>
      </c>
      <c r="Q216" t="str">
        <f>IFERROR(+VLOOKUP(D216,'[1]Migracion feb25 Ver to ATT'!$B:$B,1,FALSE), "NO")</f>
        <v>NO</v>
      </c>
      <c r="R216" s="26">
        <f t="shared" si="7"/>
        <v>25</v>
      </c>
    </row>
    <row r="217" spans="1:18" x14ac:dyDescent="0.3">
      <c r="A217" t="s">
        <v>22</v>
      </c>
      <c r="B217">
        <v>25</v>
      </c>
      <c r="C217">
        <v>4</v>
      </c>
      <c r="D217" s="7" t="s">
        <v>202</v>
      </c>
      <c r="E217" s="7" t="s">
        <v>203</v>
      </c>
      <c r="F217" s="7" t="s">
        <v>448</v>
      </c>
      <c r="G217" s="7" t="s">
        <v>286</v>
      </c>
      <c r="H217" s="35"/>
      <c r="I217" s="35" t="s">
        <v>287</v>
      </c>
      <c r="J217" s="35" t="s">
        <v>30</v>
      </c>
      <c r="K217" s="35" t="s">
        <v>292</v>
      </c>
      <c r="L217" s="7" t="s">
        <v>293</v>
      </c>
      <c r="M217" s="41">
        <v>31.7</v>
      </c>
      <c r="N217" t="str">
        <f>+VLOOKUP(D217,'DISPOSITIVOS ACTIVOS'!B:D,3,FALSE)</f>
        <v>Iphone</v>
      </c>
      <c r="O217" t="str">
        <f>+VLOOKUP(D217,'DISPOSITIVOS ACTIVOS'!B:G,6,FALSE)</f>
        <v>SILVA, ELISA</v>
      </c>
      <c r="P217" t="str">
        <f>+VLOOKUP(D217,'DISPOSITIVOS ACTIVOS'!$B$1:$H$299,7,FALSE)</f>
        <v>SALES WEST</v>
      </c>
      <c r="Q217" t="str">
        <f>IFERROR(+VLOOKUP(D217,'[1]Migracion feb25 Ver to ATT'!$B:$B,1,FALSE), "NO")</f>
        <v>615-961-5944</v>
      </c>
      <c r="R217" s="26">
        <f t="shared" si="7"/>
        <v>15</v>
      </c>
    </row>
    <row r="218" spans="1:18" x14ac:dyDescent="0.3">
      <c r="A218" t="s">
        <v>22</v>
      </c>
      <c r="B218">
        <v>25</v>
      </c>
      <c r="C218">
        <v>4</v>
      </c>
      <c r="D218" s="7" t="s">
        <v>449</v>
      </c>
      <c r="E218" s="7" t="s">
        <v>450</v>
      </c>
      <c r="F218" s="7" t="s">
        <v>451</v>
      </c>
      <c r="G218" s="35" t="s">
        <v>452</v>
      </c>
      <c r="H218" s="35"/>
      <c r="I218" s="7" t="s">
        <v>297</v>
      </c>
      <c r="J218" s="35" t="s">
        <v>30</v>
      </c>
      <c r="K218" s="35" t="s">
        <v>264</v>
      </c>
      <c r="L218" s="7" t="s">
        <v>30</v>
      </c>
      <c r="M218" s="41">
        <v>32.75</v>
      </c>
      <c r="N218" t="str">
        <f>+VLOOKUP(D218,'DISPOSITIVOS ACTIVOS'!B:D,3,FALSE)</f>
        <v>Ipad</v>
      </c>
      <c r="O218" t="str">
        <f>+VLOOKUP(D218,'DISPOSITIVOS ACTIVOS'!B:G,6,FALSE)</f>
        <v>RIOS BLANDON, AUGUSTO C</v>
      </c>
      <c r="P218" t="str">
        <f>+VLOOKUP(D218,'DISPOSITIVOS ACTIVOS'!$B$1:$H$299,7,FALSE)</f>
        <v>SALES NORTH</v>
      </c>
      <c r="Q218" t="str">
        <f>IFERROR(+VLOOKUP(D218,'[1]Migracion feb25 Ver to ATT'!$B:$B,1,FALSE), "NO")</f>
        <v>NO</v>
      </c>
      <c r="R218" s="26">
        <f t="shared" si="7"/>
        <v>25</v>
      </c>
    </row>
    <row r="219" spans="1:18" x14ac:dyDescent="0.3">
      <c r="A219" t="s">
        <v>22</v>
      </c>
      <c r="B219">
        <v>25</v>
      </c>
      <c r="C219">
        <v>4</v>
      </c>
      <c r="D219" s="7" t="s">
        <v>204</v>
      </c>
      <c r="E219" s="7" t="s">
        <v>205</v>
      </c>
      <c r="F219" s="7" t="s">
        <v>453</v>
      </c>
      <c r="G219" s="35" t="s">
        <v>286</v>
      </c>
      <c r="H219" s="35"/>
      <c r="I219" s="7" t="s">
        <v>287</v>
      </c>
      <c r="J219" s="35" t="s">
        <v>30</v>
      </c>
      <c r="K219" s="35" t="s">
        <v>289</v>
      </c>
      <c r="L219" s="7" t="s">
        <v>308</v>
      </c>
      <c r="M219" s="41">
        <v>30.41</v>
      </c>
      <c r="N219" t="str">
        <f>+VLOOKUP(D219,'DISPOSITIVOS ACTIVOS'!B:D,3,FALSE)</f>
        <v>Iphone</v>
      </c>
      <c r="O219" t="str">
        <f>+VLOOKUP(D219,'DISPOSITIVOS ACTIVOS'!B:G,6,FALSE)</f>
        <v>SOLIS SAN ANDRES, KARLA G</v>
      </c>
      <c r="P219" t="str">
        <f>+VLOOKUP(D219,'DISPOSITIVOS ACTIVOS'!$B$1:$H$299,7,FALSE)</f>
        <v>SALES WEST</v>
      </c>
      <c r="Q219" t="str">
        <f>IFERROR(+VLOOKUP(D219,'[1]Migracion feb25 Ver to ATT'!$B:$B,1,FALSE), "NO")</f>
        <v>NO</v>
      </c>
      <c r="R219" s="26">
        <f t="shared" si="7"/>
        <v>25</v>
      </c>
    </row>
    <row r="220" spans="1:18" x14ac:dyDescent="0.3">
      <c r="A220" t="s">
        <v>22</v>
      </c>
      <c r="B220">
        <v>25</v>
      </c>
      <c r="C220">
        <v>4</v>
      </c>
      <c r="D220" s="42" t="s">
        <v>454</v>
      </c>
      <c r="E220" s="42" t="s">
        <v>455</v>
      </c>
      <c r="F220" s="7" t="s">
        <v>456</v>
      </c>
      <c r="G220" s="7" t="s">
        <v>457</v>
      </c>
      <c r="H220" s="35"/>
      <c r="I220" s="35" t="s">
        <v>297</v>
      </c>
      <c r="J220" s="35" t="s">
        <v>30</v>
      </c>
      <c r="K220" s="35" t="s">
        <v>264</v>
      </c>
      <c r="L220" s="7" t="s">
        <v>30</v>
      </c>
      <c r="M220">
        <v>20.75</v>
      </c>
      <c r="N220" s="4" t="str">
        <f>+VLOOKUP(D220,'DISPOSITIVOS ACTIVOS'!B:D,3,FALSE)</f>
        <v xml:space="preserve">Galaxy </v>
      </c>
      <c r="O220" t="str">
        <f>+VLOOKUP(D220,'DISPOSITIVOS ACTIVOS'!B:G,6,FALSE)</f>
        <v>SUAREZ LEZCANO, FERNANDO M</v>
      </c>
      <c r="P220" t="str">
        <f>+VLOOKUP(D220,'DISPOSITIVOS ACTIVOS'!$B$1:$H$299,7,FALSE)</f>
        <v>SALES RITEFILL DSD CENTRAL</v>
      </c>
      <c r="Q220" t="str">
        <f>IFERROR(+VLOOKUP(D220,'[1]Migracion feb25 Ver to ATT'!$B:$B,1,FALSE), "NO")</f>
        <v>NO</v>
      </c>
      <c r="R220" s="26">
        <f t="shared" si="7"/>
        <v>25</v>
      </c>
    </row>
    <row r="221" spans="1:18" x14ac:dyDescent="0.3">
      <c r="A221" t="s">
        <v>22</v>
      </c>
      <c r="B221">
        <v>25</v>
      </c>
      <c r="C221">
        <v>4</v>
      </c>
      <c r="D221" s="7" t="s">
        <v>206</v>
      </c>
      <c r="E221" s="7" t="s">
        <v>207</v>
      </c>
      <c r="F221" s="7" t="s">
        <v>458</v>
      </c>
      <c r="G221" s="35" t="s">
        <v>286</v>
      </c>
      <c r="H221" s="35"/>
      <c r="I221" s="7" t="s">
        <v>287</v>
      </c>
      <c r="J221" s="35" t="s">
        <v>30</v>
      </c>
      <c r="K221" s="35" t="s">
        <v>289</v>
      </c>
      <c r="L221" s="7" t="s">
        <v>308</v>
      </c>
      <c r="M221" s="41">
        <v>30.41</v>
      </c>
      <c r="N221" t="str">
        <f>+VLOOKUP(D221,'DISPOSITIVOS ACTIVOS'!B:D,3,FALSE)</f>
        <v>Iphone</v>
      </c>
      <c r="O221" t="str">
        <f>+VLOOKUP(D221,'DISPOSITIVOS ACTIVOS'!B:G,6,FALSE)</f>
        <v>LONGA, CARMEN B</v>
      </c>
      <c r="P221" t="str">
        <f>+VLOOKUP(D221,'DISPOSITIVOS ACTIVOS'!$B$1:$H$299,7,FALSE)</f>
        <v>LOGISTICS WEST</v>
      </c>
      <c r="Q221" t="str">
        <f>IFERROR(+VLOOKUP(D221,'[1]Migracion feb25 Ver to ATT'!$B:$B,1,FALSE), "NO")</f>
        <v>NO</v>
      </c>
      <c r="R221" s="26">
        <f t="shared" si="7"/>
        <v>25</v>
      </c>
    </row>
    <row r="222" spans="1:18" x14ac:dyDescent="0.3">
      <c r="A222" t="s">
        <v>22</v>
      </c>
      <c r="B222">
        <v>25</v>
      </c>
      <c r="C222">
        <v>4</v>
      </c>
      <c r="D222" s="7" t="s">
        <v>208</v>
      </c>
      <c r="E222" s="7" t="s">
        <v>209</v>
      </c>
      <c r="F222" s="7" t="s">
        <v>459</v>
      </c>
      <c r="G222" s="35" t="s">
        <v>286</v>
      </c>
      <c r="H222" s="35"/>
      <c r="I222" s="7" t="s">
        <v>287</v>
      </c>
      <c r="J222" s="35" t="s">
        <v>30</v>
      </c>
      <c r="K222" s="35" t="s">
        <v>292</v>
      </c>
      <c r="L222" s="7" t="s">
        <v>293</v>
      </c>
      <c r="M222" s="41">
        <v>31.7</v>
      </c>
      <c r="N222" t="str">
        <f>+VLOOKUP(D222,'DISPOSITIVOS ACTIVOS'!B:D,3,FALSE)</f>
        <v>Iphone</v>
      </c>
      <c r="O222" t="str">
        <f>+VLOOKUP(D222,'DISPOSITIVOS ACTIVOS'!B:G,6,FALSE)</f>
        <v>LUCIO FLORES, JOSE ANGEL</v>
      </c>
      <c r="P222" t="str">
        <f>+VLOOKUP(D222,'DISPOSITIVOS ACTIVOS'!$B$1:$H$299,7,FALSE)</f>
        <v>SALES NORTH</v>
      </c>
      <c r="Q222" t="str">
        <f>IFERROR(+VLOOKUP(D222,'[1]Migracion feb25 Ver to ATT'!$B:$B,1,FALSE), "NO")</f>
        <v>629-239-0999</v>
      </c>
      <c r="R222" s="26">
        <f t="shared" si="7"/>
        <v>15</v>
      </c>
    </row>
    <row r="223" spans="1:18" x14ac:dyDescent="0.3">
      <c r="A223" t="s">
        <v>22</v>
      </c>
      <c r="B223">
        <v>25</v>
      </c>
      <c r="C223">
        <v>4</v>
      </c>
      <c r="D223" s="7" t="s">
        <v>210</v>
      </c>
      <c r="E223" s="7" t="s">
        <v>211</v>
      </c>
      <c r="F223" s="7" t="s">
        <v>460</v>
      </c>
      <c r="G223" s="7" t="s">
        <v>332</v>
      </c>
      <c r="H223" s="35"/>
      <c r="I223" s="35" t="s">
        <v>297</v>
      </c>
      <c r="J223" s="35" t="s">
        <v>30</v>
      </c>
      <c r="K223" s="35" t="s">
        <v>264</v>
      </c>
      <c r="L223" s="7" t="s">
        <v>30</v>
      </c>
      <c r="M223">
        <v>3.75</v>
      </c>
      <c r="N223" t="str">
        <f>+VLOOKUP(D223,'DISPOSITIVOS ACTIVOS'!B:D,3,FALSE)</f>
        <v>Ipad</v>
      </c>
      <c r="O223" t="str">
        <f>+VLOOKUP(D223,'DISPOSITIVOS ACTIVOS'!B:G,6,FALSE)</f>
        <v>GUTIERREZ TOVAR, YNGEL J</v>
      </c>
      <c r="P223" t="str">
        <f>+VLOOKUP(D223,'DISPOSITIVOS ACTIVOS'!$B$1:$H$299,7,FALSE)</f>
        <v>SALES CENTRAL</v>
      </c>
      <c r="Q223" t="str">
        <f>IFERROR(+VLOOKUP(D223,'[1]Migracion feb25 Ver to ATT'!$B:$B,1,FALSE), "NO")</f>
        <v>NO</v>
      </c>
      <c r="R223" s="26">
        <f t="shared" si="7"/>
        <v>25</v>
      </c>
    </row>
    <row r="224" spans="1:18" x14ac:dyDescent="0.3">
      <c r="A224" t="s">
        <v>22</v>
      </c>
      <c r="B224">
        <v>25</v>
      </c>
      <c r="C224">
        <v>4</v>
      </c>
      <c r="D224" s="7" t="s">
        <v>212</v>
      </c>
      <c r="E224" s="7" t="s">
        <v>211</v>
      </c>
      <c r="F224" s="7" t="s">
        <v>461</v>
      </c>
      <c r="G224" s="35" t="s">
        <v>286</v>
      </c>
      <c r="H224" s="35"/>
      <c r="I224" s="7" t="s">
        <v>287</v>
      </c>
      <c r="J224" s="35" t="s">
        <v>30</v>
      </c>
      <c r="K224" s="35" t="s">
        <v>292</v>
      </c>
      <c r="L224" s="7" t="s">
        <v>293</v>
      </c>
      <c r="M224" s="41">
        <v>31.7</v>
      </c>
      <c r="N224" t="str">
        <f>+VLOOKUP(D224,'DISPOSITIVOS ACTIVOS'!B:D,3,FALSE)</f>
        <v>Iphone</v>
      </c>
      <c r="O224" t="str">
        <f>+VLOOKUP(D224,'DISPOSITIVOS ACTIVOS'!B:G,6,FALSE)</f>
        <v>GUTIERREZ TOVAR, YNGEL J</v>
      </c>
      <c r="P224" t="str">
        <f>+VLOOKUP(D224,'DISPOSITIVOS ACTIVOS'!$B$1:$H$299,7,FALSE)</f>
        <v>SALES CENTRAL</v>
      </c>
      <c r="Q224" t="str">
        <f>IFERROR(+VLOOKUP(D224,'[1]Migracion feb25 Ver to ATT'!$B:$B,1,FALSE), "NO")</f>
        <v>629-256-9168</v>
      </c>
      <c r="R224" s="26">
        <f t="shared" si="7"/>
        <v>15</v>
      </c>
    </row>
    <row r="225" spans="1:18" x14ac:dyDescent="0.3">
      <c r="A225" t="s">
        <v>22</v>
      </c>
      <c r="B225">
        <v>25</v>
      </c>
      <c r="C225">
        <v>4</v>
      </c>
      <c r="D225" s="7" t="s">
        <v>213</v>
      </c>
      <c r="E225" s="7" t="s">
        <v>214</v>
      </c>
      <c r="F225" s="7" t="s">
        <v>462</v>
      </c>
      <c r="G225" s="35" t="s">
        <v>286</v>
      </c>
      <c r="H225" s="35"/>
      <c r="I225" s="7" t="s">
        <v>287</v>
      </c>
      <c r="J225" s="35" t="s">
        <v>30</v>
      </c>
      <c r="K225" s="35" t="s">
        <v>289</v>
      </c>
      <c r="L225" s="7" t="s">
        <v>308</v>
      </c>
      <c r="M225" s="41">
        <v>30.41</v>
      </c>
      <c r="N225" t="str">
        <f>+VLOOKUP(D225,'DISPOSITIVOS ACTIVOS'!B:D,3,FALSE)</f>
        <v>Iphone</v>
      </c>
      <c r="O225" t="str">
        <f>+VLOOKUP(D225,'DISPOSITIVOS ACTIVOS'!B:G,6,FALSE)</f>
        <v>BRITO SALAZAR, RICARDO JOSE</v>
      </c>
      <c r="P225" t="str">
        <f>+VLOOKUP(D225,'DISPOSITIVOS ACTIVOS'!$B$1:$H$299,7,FALSE)</f>
        <v>HR</v>
      </c>
      <c r="Q225" t="str">
        <f>IFERROR(+VLOOKUP(D225,'[1]Migracion feb25 Ver to ATT'!$B:$B,1,FALSE), "NO")</f>
        <v>NO</v>
      </c>
      <c r="R225" s="26">
        <f t="shared" si="7"/>
        <v>25</v>
      </c>
    </row>
    <row r="226" spans="1:18" x14ac:dyDescent="0.3">
      <c r="A226" t="s">
        <v>22</v>
      </c>
      <c r="B226">
        <v>25</v>
      </c>
      <c r="C226">
        <v>4</v>
      </c>
      <c r="D226" s="7" t="s">
        <v>215</v>
      </c>
      <c r="E226" s="7" t="s">
        <v>216</v>
      </c>
      <c r="F226" s="7" t="s">
        <v>463</v>
      </c>
      <c r="G226" s="7" t="s">
        <v>286</v>
      </c>
      <c r="H226" s="35"/>
      <c r="I226" s="35" t="s">
        <v>287</v>
      </c>
      <c r="J226" s="35" t="s">
        <v>263</v>
      </c>
      <c r="K226" s="35" t="s">
        <v>289</v>
      </c>
      <c r="L226" s="7" t="s">
        <v>308</v>
      </c>
      <c r="M226" s="41">
        <v>50.41</v>
      </c>
      <c r="N226" t="str">
        <f>+VLOOKUP(D226,'DISPOSITIVOS ACTIVOS'!B:D,3,FALSE)</f>
        <v>Iphone</v>
      </c>
      <c r="O226" t="str">
        <f>+VLOOKUP(D226,'DISPOSITIVOS ACTIVOS'!B:G,6,FALSE)</f>
        <v>LODYGENSKY, ISABELE</v>
      </c>
      <c r="P226" t="str">
        <f>+VLOOKUP(D226,'DISPOSITIVOS ACTIVOS'!$B$1:$H$299,7,FALSE)</f>
        <v>Corpotative ESG 110002</v>
      </c>
      <c r="Q226" t="str">
        <f>IFERROR(+VLOOKUP(D226,'[1]Migracion feb25 Ver to ATT'!$B:$B,1,FALSE), "NO")</f>
        <v>NO</v>
      </c>
      <c r="R226" s="26">
        <f t="shared" si="7"/>
        <v>25</v>
      </c>
    </row>
    <row r="227" spans="1:18" x14ac:dyDescent="0.3">
      <c r="A227" t="s">
        <v>22</v>
      </c>
      <c r="B227">
        <v>25</v>
      </c>
      <c r="C227">
        <v>4</v>
      </c>
      <c r="D227" s="7" t="s">
        <v>464</v>
      </c>
      <c r="E227" s="7" t="s">
        <v>465</v>
      </c>
      <c r="F227" s="7" t="s">
        <v>466</v>
      </c>
      <c r="G227" s="35" t="s">
        <v>467</v>
      </c>
      <c r="H227" s="35"/>
      <c r="I227" s="7" t="s">
        <v>297</v>
      </c>
      <c r="J227" s="35" t="s">
        <v>30</v>
      </c>
      <c r="K227" s="35" t="s">
        <v>264</v>
      </c>
      <c r="L227" s="7" t="s">
        <v>30</v>
      </c>
      <c r="M227" s="41">
        <v>31.25</v>
      </c>
      <c r="N227" t="str">
        <f>+VLOOKUP(D227,'DISPOSITIVOS ACTIVOS'!B:D,3,FALSE)</f>
        <v>Ipad</v>
      </c>
      <c r="O227">
        <f>+VLOOKUP(D227,'DISPOSITIVOS ACTIVOS'!B:G,6,FALSE)</f>
        <v>0</v>
      </c>
      <c r="P227" t="str">
        <f>+VLOOKUP(D227,'DISPOSITIVOS ACTIVOS'!$B$1:$H$299,7,FALSE)</f>
        <v>SALES RITEFILL DSD SOUTH</v>
      </c>
      <c r="Q227" t="str">
        <f>IFERROR(+VLOOKUP(D227,'[1]Migracion feb25 Ver to ATT'!$B:$B,1,FALSE), "NO")</f>
        <v>NO</v>
      </c>
      <c r="R227" s="26">
        <f t="shared" si="7"/>
        <v>25</v>
      </c>
    </row>
    <row r="228" spans="1:18" x14ac:dyDescent="0.3">
      <c r="A228" t="s">
        <v>22</v>
      </c>
      <c r="B228">
        <v>25</v>
      </c>
      <c r="C228">
        <v>4</v>
      </c>
      <c r="D228" s="7" t="s">
        <v>217</v>
      </c>
      <c r="E228" s="7" t="s">
        <v>218</v>
      </c>
      <c r="F228" s="7" t="s">
        <v>468</v>
      </c>
      <c r="G228" s="35" t="s">
        <v>469</v>
      </c>
      <c r="H228" s="35"/>
      <c r="I228" s="7" t="s">
        <v>355</v>
      </c>
      <c r="J228" s="35" t="s">
        <v>30</v>
      </c>
      <c r="K228" s="35" t="s">
        <v>30</v>
      </c>
      <c r="L228" s="7" t="s">
        <v>30</v>
      </c>
      <c r="M228">
        <v>6.5</v>
      </c>
      <c r="N228" s="4" t="s">
        <v>470</v>
      </c>
      <c r="O228" t="e">
        <f>+VLOOKUP(D228,'DISPOSITIVOS ACTIVOS'!B:G,6,FALSE)</f>
        <v>#N/A</v>
      </c>
      <c r="P228" t="e">
        <f>+VLOOKUP(D228,'DISPOSITIVOS ACTIVOS'!$B$1:$H$299,7,FALSE)</f>
        <v>#N/A</v>
      </c>
      <c r="Q228" t="str">
        <f>IFERROR(+VLOOKUP(D228,'[1]Migracion feb25 Ver to ATT'!$B:$B,1,FALSE), "NO")</f>
        <v>NO</v>
      </c>
      <c r="R228" s="26">
        <f t="shared" si="7"/>
        <v>25</v>
      </c>
    </row>
    <row r="229" spans="1:18" x14ac:dyDescent="0.3">
      <c r="A229" t="s">
        <v>22</v>
      </c>
      <c r="B229">
        <v>25</v>
      </c>
      <c r="C229">
        <v>4</v>
      </c>
      <c r="D229" s="7" t="s">
        <v>471</v>
      </c>
      <c r="E229" s="7" t="s">
        <v>472</v>
      </c>
      <c r="F229" s="7" t="s">
        <v>473</v>
      </c>
      <c r="G229" s="7" t="s">
        <v>474</v>
      </c>
      <c r="H229" s="35"/>
      <c r="I229" s="35" t="s">
        <v>297</v>
      </c>
      <c r="J229" s="35" t="s">
        <v>30</v>
      </c>
      <c r="K229" s="35" t="s">
        <v>264</v>
      </c>
      <c r="L229" s="7" t="s">
        <v>30</v>
      </c>
      <c r="M229" s="41">
        <v>29.25</v>
      </c>
      <c r="N229" t="str">
        <f>+VLOOKUP(D229,'DISPOSITIVOS ACTIVOS'!B:D,3,FALSE)</f>
        <v>Ipad</v>
      </c>
      <c r="O229" t="str">
        <f>+VLOOKUP(D229,'DISPOSITIVOS ACTIVOS'!B:G,6,FALSE)</f>
        <v>VIVAS, REYNA E</v>
      </c>
      <c r="P229" t="str">
        <f>+VLOOKUP(D229,'DISPOSITIVOS ACTIVOS'!$B$1:$H$299,7,FALSE)</f>
        <v>SALES RITEFILL DSD WEST</v>
      </c>
      <c r="Q229" t="str">
        <f>IFERROR(+VLOOKUP(D229,'[1]Migracion feb25 Ver to ATT'!$B:$B,1,FALSE), "NO")</f>
        <v>NO</v>
      </c>
      <c r="R229" s="26">
        <f t="shared" si="7"/>
        <v>25</v>
      </c>
    </row>
    <row r="230" spans="1:18" x14ac:dyDescent="0.3">
      <c r="A230" t="s">
        <v>22</v>
      </c>
      <c r="B230">
        <v>25</v>
      </c>
      <c r="C230">
        <v>4</v>
      </c>
      <c r="D230" s="7" t="s">
        <v>51</v>
      </c>
      <c r="E230" s="7" t="s">
        <v>52</v>
      </c>
      <c r="F230" s="7" t="s">
        <v>475</v>
      </c>
      <c r="G230" s="35" t="s">
        <v>296</v>
      </c>
      <c r="H230" s="35"/>
      <c r="I230" s="7" t="s">
        <v>297</v>
      </c>
      <c r="J230" s="35" t="s">
        <v>30</v>
      </c>
      <c r="K230" s="35" t="s">
        <v>264</v>
      </c>
      <c r="L230" s="7" t="s">
        <v>30</v>
      </c>
      <c r="M230" s="41">
        <v>30.75</v>
      </c>
      <c r="N230" t="str">
        <f>+VLOOKUP(D230,'DISPOSITIVOS ACTIVOS'!B:D,3,FALSE)</f>
        <v>Ipad</v>
      </c>
      <c r="O230" t="str">
        <f>+VLOOKUP(D230,'DISPOSITIVOS ACTIVOS'!B:G,6,FALSE)</f>
        <v>LACRUZ, ROSMARY</v>
      </c>
      <c r="P230" t="str">
        <f>+VLOOKUP(D230,'DISPOSITIVOS ACTIVOS'!$B$1:$H$299,7,FALSE)</f>
        <v>SALES WEST</v>
      </c>
      <c r="Q230" t="str">
        <f>IFERROR(+VLOOKUP(D230,'[1]Migracion feb25 Ver to ATT'!$B:$B,1,FALSE), "NO")</f>
        <v>NO</v>
      </c>
      <c r="R230" s="26">
        <f t="shared" si="7"/>
        <v>25</v>
      </c>
    </row>
    <row r="231" spans="1:18" x14ac:dyDescent="0.3">
      <c r="A231" t="s">
        <v>22</v>
      </c>
      <c r="B231">
        <v>25</v>
      </c>
      <c r="C231">
        <v>4</v>
      </c>
      <c r="D231" s="7" t="s">
        <v>23</v>
      </c>
      <c r="E231" s="7" t="s">
        <v>24</v>
      </c>
      <c r="F231" s="7" t="s">
        <v>476</v>
      </c>
      <c r="G231" s="35" t="s">
        <v>477</v>
      </c>
      <c r="H231" s="35"/>
      <c r="I231" s="7" t="s">
        <v>287</v>
      </c>
      <c r="J231" s="35" t="s">
        <v>478</v>
      </c>
      <c r="K231" s="35" t="s">
        <v>479</v>
      </c>
      <c r="L231" s="7" t="s">
        <v>480</v>
      </c>
      <c r="M231" s="41">
        <v>41.9</v>
      </c>
      <c r="N231" t="str">
        <f>+VLOOKUP(D231,'DISPOSITIVOS ACTIVOS'!B:D,3,FALSE)</f>
        <v>Iphone</v>
      </c>
      <c r="O231" t="str">
        <f>+VLOOKUP(D231,'DISPOSITIVOS ACTIVOS'!B:G,6,FALSE)</f>
        <v>RIVERO, LUIS MARIANO</v>
      </c>
      <c r="P231" t="str">
        <f>+VLOOKUP(D231,'DISPOSITIVOS ACTIVOS'!$B$1:$H$299,7,FALSE)</f>
        <v>SALES CENTRAL</v>
      </c>
      <c r="Q231" t="str">
        <f>IFERROR(+VLOOKUP(D231,'[1]Migracion feb25 Ver to ATT'!$B:$B,1,FALSE), "NO")</f>
        <v>NO</v>
      </c>
      <c r="R231" s="26">
        <f t="shared" si="7"/>
        <v>25</v>
      </c>
    </row>
    <row r="232" spans="1:18" x14ac:dyDescent="0.3">
      <c r="A232" t="s">
        <v>22</v>
      </c>
      <c r="B232">
        <v>25</v>
      </c>
      <c r="C232">
        <v>4</v>
      </c>
      <c r="D232" s="7" t="s">
        <v>58</v>
      </c>
      <c r="E232" s="7" t="s">
        <v>56</v>
      </c>
      <c r="F232" s="7" t="s">
        <v>481</v>
      </c>
      <c r="G232" s="7" t="s">
        <v>296</v>
      </c>
      <c r="H232" s="35"/>
      <c r="I232" s="35" t="s">
        <v>297</v>
      </c>
      <c r="J232" s="35" t="s">
        <v>482</v>
      </c>
      <c r="K232" s="35" t="s">
        <v>264</v>
      </c>
      <c r="L232" s="7" t="s">
        <v>30</v>
      </c>
      <c r="M232" s="41">
        <v>43.53</v>
      </c>
      <c r="N232" t="str">
        <f>+VLOOKUP(D232,'DISPOSITIVOS ACTIVOS'!B:D,3,FALSE)</f>
        <v>Ipad</v>
      </c>
      <c r="O232" t="str">
        <f>+VLOOKUP(D232,'DISPOSITIVOS ACTIVOS'!B:G,6,FALSE)</f>
        <v>RIVERO, LUIS MARIANO</v>
      </c>
      <c r="P232" t="str">
        <f>+VLOOKUP(D232,'DISPOSITIVOS ACTIVOS'!$B$1:$H$299,7,FALSE)</f>
        <v>SALES CENTRAL</v>
      </c>
      <c r="Q232" t="str">
        <f>IFERROR(+VLOOKUP(D232,'[1]Migracion feb25 Ver to ATT'!$B:$B,1,FALSE), "NO")</f>
        <v>NO</v>
      </c>
      <c r="R232" s="26">
        <f t="shared" si="7"/>
        <v>25</v>
      </c>
    </row>
    <row r="233" spans="1:18" x14ac:dyDescent="0.3">
      <c r="A233" t="s">
        <v>22</v>
      </c>
      <c r="B233">
        <v>25</v>
      </c>
      <c r="C233">
        <v>4</v>
      </c>
      <c r="D233" s="7" t="s">
        <v>25</v>
      </c>
      <c r="E233" s="7" t="s">
        <v>24</v>
      </c>
      <c r="F233" s="7" t="s">
        <v>483</v>
      </c>
      <c r="G233" s="35" t="s">
        <v>477</v>
      </c>
      <c r="H233" s="35"/>
      <c r="I233" s="7" t="s">
        <v>287</v>
      </c>
      <c r="J233" s="35" t="s">
        <v>478</v>
      </c>
      <c r="K233" s="35" t="s">
        <v>479</v>
      </c>
      <c r="L233" s="7" t="s">
        <v>480</v>
      </c>
      <c r="M233" s="41">
        <v>41.9</v>
      </c>
      <c r="N233" t="str">
        <f>+VLOOKUP(D233,'DISPOSITIVOS ACTIVOS'!B:D,3,FALSE)</f>
        <v>Iphone</v>
      </c>
      <c r="O233" t="str">
        <f>+VLOOKUP(D233,'DISPOSITIVOS ACTIVOS'!B:G,6,FALSE)</f>
        <v>CALDERON, PILAR ESTRADA</v>
      </c>
      <c r="P233" t="str">
        <f>+VLOOKUP(D233,'DISPOSITIVOS ACTIVOS'!$B$1:$H$299,7,FALSE)</f>
        <v>MERCHANDISER SOUTH</v>
      </c>
      <c r="Q233" t="str">
        <f>IFERROR(+VLOOKUP(D233,'[1]Migracion feb25 Ver to ATT'!$B:$B,1,FALSE), "NO")</f>
        <v>NO</v>
      </c>
      <c r="R233" s="26">
        <f t="shared" si="7"/>
        <v>25</v>
      </c>
    </row>
    <row r="234" spans="1:18" x14ac:dyDescent="0.3">
      <c r="A234" t="s">
        <v>22</v>
      </c>
      <c r="B234">
        <v>25</v>
      </c>
      <c r="C234">
        <v>4</v>
      </c>
      <c r="D234" s="7" t="s">
        <v>26</v>
      </c>
      <c r="E234" s="7" t="s">
        <v>27</v>
      </c>
      <c r="F234" s="7" t="s">
        <v>484</v>
      </c>
      <c r="G234" s="35" t="s">
        <v>477</v>
      </c>
      <c r="H234" s="35"/>
      <c r="I234" s="7" t="s">
        <v>287</v>
      </c>
      <c r="J234" s="35" t="s">
        <v>478</v>
      </c>
      <c r="K234" s="35" t="s">
        <v>479</v>
      </c>
      <c r="L234" s="7" t="s">
        <v>480</v>
      </c>
      <c r="M234" s="41">
        <v>41.9</v>
      </c>
      <c r="N234" t="str">
        <f>+VLOOKUP(D234,'DISPOSITIVOS ACTIVOS'!B:D,3,FALSE)</f>
        <v>Iphone</v>
      </c>
      <c r="O234" t="str">
        <f>+VLOOKUP(D234,'DISPOSITIVOS ACTIVOS'!B:G,6,FALSE)</f>
        <v>GARCIA, RADDY</v>
      </c>
      <c r="P234" t="str">
        <f>+VLOOKUP(D234,'DISPOSITIVOS ACTIVOS'!$B$1:$H$299,7,FALSE)</f>
        <v>SALES NORTH</v>
      </c>
      <c r="Q234" t="str">
        <f>IFERROR(+VLOOKUP(D234,'[1]Migracion feb25 Ver to ATT'!$B:$B,1,FALSE), "NO")</f>
        <v>NO</v>
      </c>
      <c r="R234" s="26">
        <f t="shared" si="7"/>
        <v>25</v>
      </c>
    </row>
    <row r="235" spans="1:18" x14ac:dyDescent="0.3">
      <c r="A235" t="s">
        <v>22</v>
      </c>
      <c r="B235">
        <v>25</v>
      </c>
      <c r="C235">
        <v>4</v>
      </c>
      <c r="D235" s="7" t="s">
        <v>57</v>
      </c>
      <c r="E235" s="7" t="s">
        <v>56</v>
      </c>
      <c r="F235" s="7" t="s">
        <v>485</v>
      </c>
      <c r="G235" s="7" t="s">
        <v>296</v>
      </c>
      <c r="H235" s="35"/>
      <c r="I235" s="35" t="s">
        <v>297</v>
      </c>
      <c r="J235" s="35" t="s">
        <v>482</v>
      </c>
      <c r="K235" s="35" t="s">
        <v>264</v>
      </c>
      <c r="L235" s="7" t="s">
        <v>30</v>
      </c>
      <c r="M235" s="41">
        <v>43.53</v>
      </c>
      <c r="N235" t="str">
        <f>+VLOOKUP(D235,'DISPOSITIVOS ACTIVOS'!B:D,3,FALSE)</f>
        <v>Ipad</v>
      </c>
      <c r="O235" t="str">
        <f>+VLOOKUP(D235,'DISPOSITIVOS ACTIVOS'!B:G,6,FALSE)</f>
        <v>CALDERON, PILAR ESTRADA</v>
      </c>
      <c r="P235" t="str">
        <f>+VLOOKUP(D235,'DISPOSITIVOS ACTIVOS'!$B$1:$H$299,7,FALSE)</f>
        <v>MERCHANDISER SOUTH</v>
      </c>
      <c r="Q235" t="str">
        <f>IFERROR(+VLOOKUP(D235,'[1]Migracion feb25 Ver to ATT'!$B:$B,1,FALSE), "NO")</f>
        <v>NO</v>
      </c>
      <c r="R235" s="26">
        <f t="shared" si="7"/>
        <v>25</v>
      </c>
    </row>
    <row r="236" spans="1:18" x14ac:dyDescent="0.3">
      <c r="A236" t="s">
        <v>22</v>
      </c>
      <c r="B236">
        <v>25</v>
      </c>
      <c r="C236">
        <v>4</v>
      </c>
      <c r="D236" s="7" t="s">
        <v>55</v>
      </c>
      <c r="E236" s="7" t="s">
        <v>56</v>
      </c>
      <c r="F236" s="7" t="s">
        <v>486</v>
      </c>
      <c r="G236" s="35" t="s">
        <v>296</v>
      </c>
      <c r="H236" s="35"/>
      <c r="I236" s="7" t="s">
        <v>297</v>
      </c>
      <c r="J236" s="35" t="s">
        <v>482</v>
      </c>
      <c r="K236" s="35" t="s">
        <v>264</v>
      </c>
      <c r="L236" s="7" t="s">
        <v>30</v>
      </c>
      <c r="M236" s="41">
        <v>43.53</v>
      </c>
      <c r="N236" t="str">
        <f>+VLOOKUP(D236,'DISPOSITIVOS ACTIVOS'!B:D,3,FALSE)</f>
        <v>Ipad</v>
      </c>
      <c r="O236" t="str">
        <f>+VLOOKUP(D236,'DISPOSITIVOS ACTIVOS'!B:G,6,FALSE)</f>
        <v>GARCIA, RADDY</v>
      </c>
      <c r="P236" t="str">
        <f>+VLOOKUP(D236,'DISPOSITIVOS ACTIVOS'!$B$1:$H$299,7,FALSE)</f>
        <v>SALES NORTH</v>
      </c>
      <c r="Q236" t="str">
        <f>IFERROR(+VLOOKUP(D236,'[1]Migracion feb25 Ver to ATT'!$B:$B,1,FALSE), "NO")</f>
        <v>NO</v>
      </c>
      <c r="R236" s="26">
        <f t="shared" si="7"/>
        <v>25</v>
      </c>
    </row>
    <row r="237" spans="1:18" x14ac:dyDescent="0.3">
      <c r="A237" t="s">
        <v>22</v>
      </c>
      <c r="B237">
        <v>25</v>
      </c>
      <c r="C237">
        <v>4</v>
      </c>
      <c r="D237" s="7" t="s">
        <v>219</v>
      </c>
      <c r="E237" s="7" t="s">
        <v>220</v>
      </c>
      <c r="F237" s="7" t="s">
        <v>487</v>
      </c>
      <c r="G237" s="35" t="s">
        <v>317</v>
      </c>
      <c r="H237" s="35"/>
      <c r="I237" s="7" t="s">
        <v>30</v>
      </c>
      <c r="J237" s="35" t="s">
        <v>318</v>
      </c>
      <c r="K237" s="35" t="s">
        <v>329</v>
      </c>
      <c r="L237" s="7" t="s">
        <v>330</v>
      </c>
      <c r="M237">
        <v>-29.94</v>
      </c>
      <c r="N237" s="4" t="s">
        <v>40</v>
      </c>
      <c r="O237" t="e">
        <f>+VLOOKUP(D237,'DISPOSITIVOS ACTIVOS'!B:G,6,FALSE)</f>
        <v>#N/A</v>
      </c>
      <c r="P237" t="e">
        <f>+VLOOKUP(D237,'DISPOSITIVOS ACTIVOS'!$B$1:$H$299,7,FALSE)</f>
        <v>#N/A</v>
      </c>
      <c r="Q237" t="str">
        <f>IFERROR(+VLOOKUP(D237,'[1]Migracion feb25 Ver to ATT'!$B:$B,1,FALSE), "NO")</f>
        <v>NO</v>
      </c>
      <c r="R237" s="26">
        <f>+M237</f>
        <v>-29.94</v>
      </c>
    </row>
    <row r="238" spans="1:18" x14ac:dyDescent="0.3">
      <c r="A238" t="s">
        <v>22</v>
      </c>
      <c r="B238">
        <v>25</v>
      </c>
      <c r="C238">
        <v>4</v>
      </c>
      <c r="D238" s="7" t="s">
        <v>221</v>
      </c>
      <c r="E238" s="7" t="s">
        <v>222</v>
      </c>
      <c r="F238" s="7" t="s">
        <v>488</v>
      </c>
      <c r="G238" s="7" t="s">
        <v>286</v>
      </c>
      <c r="H238" s="35"/>
      <c r="I238" s="35" t="s">
        <v>287</v>
      </c>
      <c r="J238" s="35" t="s">
        <v>30</v>
      </c>
      <c r="K238" s="35" t="s">
        <v>289</v>
      </c>
      <c r="L238" s="7" t="s">
        <v>308</v>
      </c>
      <c r="M238" s="41">
        <v>30.41</v>
      </c>
      <c r="N238">
        <f>+VLOOKUP(D238,'DISPOSITIVOS ACTIVOS'!B:D,3,FALSE)</f>
        <v>0</v>
      </c>
      <c r="O238" t="str">
        <f>+VLOOKUP(D238,'DISPOSITIVOS ACTIVOS'!B:G,6,FALSE)</f>
        <v>VIVAS, REYNA E</v>
      </c>
      <c r="P238" t="str">
        <f>+VLOOKUP(D238,'DISPOSITIVOS ACTIVOS'!$B$1:$H$299,7,FALSE)</f>
        <v>SALES RITEFILL DSD WEST</v>
      </c>
      <c r="Q238" t="str">
        <f>IFERROR(+VLOOKUP(D238,'[1]Migracion feb25 Ver to ATT'!$B:$B,1,FALSE), "NO")</f>
        <v>NO</v>
      </c>
      <c r="R238" s="26">
        <f t="shared" si="7"/>
        <v>25</v>
      </c>
    </row>
    <row r="239" spans="1:18" x14ac:dyDescent="0.3">
      <c r="A239" t="s">
        <v>22</v>
      </c>
      <c r="B239">
        <v>25</v>
      </c>
      <c r="C239">
        <v>4</v>
      </c>
      <c r="D239" s="7" t="s">
        <v>61</v>
      </c>
      <c r="E239" s="7" t="s">
        <v>62</v>
      </c>
      <c r="F239" s="7" t="s">
        <v>489</v>
      </c>
      <c r="G239" s="35" t="s">
        <v>296</v>
      </c>
      <c r="H239" s="35"/>
      <c r="I239" s="7" t="s">
        <v>297</v>
      </c>
      <c r="J239" s="35" t="s">
        <v>30</v>
      </c>
      <c r="K239" s="35" t="s">
        <v>264</v>
      </c>
      <c r="L239" s="7"/>
      <c r="M239" s="41">
        <v>30.75</v>
      </c>
      <c r="N239" t="str">
        <f>+VLOOKUP(D239,'DISPOSITIVOS ACTIVOS'!B:D,3,FALSE)</f>
        <v>Ipad</v>
      </c>
      <c r="O239" t="str">
        <f>+VLOOKUP(D239,'DISPOSITIVOS ACTIVOS'!B:G,6,FALSE)</f>
        <v>CHANCHAMIRE, RAFAEL A</v>
      </c>
      <c r="P239" t="str">
        <f>+VLOOKUP(D239,'DISPOSITIVOS ACTIVOS'!$B$1:$H$299,7,FALSE)</f>
        <v>SALES WEST</v>
      </c>
      <c r="Q239" t="str">
        <f>IFERROR(+VLOOKUP(D239,'[1]Migracion feb25 Ver to ATT'!$B:$B,1,FALSE), "NO")</f>
        <v>NO</v>
      </c>
      <c r="R239" s="26">
        <f t="shared" si="7"/>
        <v>25</v>
      </c>
    </row>
    <row r="240" spans="1:18" x14ac:dyDescent="0.3">
      <c r="A240" t="s">
        <v>22</v>
      </c>
      <c r="B240">
        <v>25</v>
      </c>
      <c r="C240">
        <v>4</v>
      </c>
      <c r="D240" s="7" t="s">
        <v>59</v>
      </c>
      <c r="E240" s="7" t="s">
        <v>60</v>
      </c>
      <c r="F240" s="7" t="s">
        <v>490</v>
      </c>
      <c r="G240" s="35" t="s">
        <v>296</v>
      </c>
      <c r="H240" s="35"/>
      <c r="I240" s="7" t="s">
        <v>297</v>
      </c>
      <c r="J240" s="35" t="s">
        <v>30</v>
      </c>
      <c r="K240" s="35" t="s">
        <v>264</v>
      </c>
      <c r="L240" s="7"/>
      <c r="M240" s="41">
        <v>30.75</v>
      </c>
      <c r="N240" t="str">
        <f>+VLOOKUP(D240,'DISPOSITIVOS ACTIVOS'!B:D,3,FALSE)</f>
        <v>Ipad</v>
      </c>
      <c r="O240" t="str">
        <f>+VLOOKUP(D240,'DISPOSITIVOS ACTIVOS'!B:G,6,FALSE)</f>
        <v>SHINE, EDILIA D</v>
      </c>
      <c r="P240" t="str">
        <f>+VLOOKUP(D240,'DISPOSITIVOS ACTIVOS'!$B$1:$H$299,7,FALSE)</f>
        <v>SALES NORTH</v>
      </c>
      <c r="Q240" t="str">
        <f>IFERROR(+VLOOKUP(D240,'[1]Migracion feb25 Ver to ATT'!$B:$B,1,FALSE), "NO")</f>
        <v>NO</v>
      </c>
      <c r="R240" s="26">
        <f t="shared" si="7"/>
        <v>25</v>
      </c>
    </row>
    <row r="241" spans="1:18" x14ac:dyDescent="0.3">
      <c r="A241" t="s">
        <v>22</v>
      </c>
      <c r="B241">
        <v>25</v>
      </c>
      <c r="C241">
        <v>4</v>
      </c>
      <c r="D241" s="42" t="s">
        <v>491</v>
      </c>
      <c r="E241" s="42" t="s">
        <v>410</v>
      </c>
      <c r="F241" s="7" t="s">
        <v>492</v>
      </c>
      <c r="G241" s="7" t="s">
        <v>303</v>
      </c>
      <c r="H241" s="35"/>
      <c r="I241" s="35" t="s">
        <v>304</v>
      </c>
      <c r="J241" s="35" t="s">
        <v>30</v>
      </c>
      <c r="K241" s="35" t="s">
        <v>493</v>
      </c>
      <c r="L241" s="7" t="s">
        <v>494</v>
      </c>
      <c r="M241" s="41">
        <v>45.16</v>
      </c>
      <c r="N241" s="4" t="s">
        <v>191</v>
      </c>
      <c r="O241">
        <f>+VLOOKUP(D241,'DISPOSITIVOS ACTIVOS'!B:G,6,FALSE)</f>
        <v>0</v>
      </c>
      <c r="P241" t="str">
        <f>+VLOOKUP(D241,'DISPOSITIVOS ACTIVOS'!$B$1:$H$299,7,FALSE)</f>
        <v>SALES RITEFILL DSD SOUTH</v>
      </c>
      <c r="Q241" t="str">
        <f>IFERROR(+VLOOKUP(D241,'[1]Migracion feb25 Ver to ATT'!$B:$B,1,FALSE), "NO")</f>
        <v>NO</v>
      </c>
      <c r="R241" s="26">
        <f t="shared" si="7"/>
        <v>25</v>
      </c>
    </row>
    <row r="242" spans="1:18" x14ac:dyDescent="0.3">
      <c r="A242" t="s">
        <v>22</v>
      </c>
      <c r="B242">
        <v>25</v>
      </c>
      <c r="C242">
        <v>4</v>
      </c>
      <c r="D242" s="7" t="s">
        <v>28</v>
      </c>
      <c r="E242" s="7" t="s">
        <v>29</v>
      </c>
      <c r="F242" s="7" t="s">
        <v>495</v>
      </c>
      <c r="G242" s="35" t="s">
        <v>496</v>
      </c>
      <c r="H242" s="35"/>
      <c r="I242" s="7" t="s">
        <v>297</v>
      </c>
      <c r="J242" s="35" t="s">
        <v>30</v>
      </c>
      <c r="K242" s="35" t="s">
        <v>264</v>
      </c>
      <c r="L242" s="7"/>
      <c r="M242">
        <v>14.25</v>
      </c>
      <c r="N242" t="str">
        <f>+VLOOKUP(D242,'DISPOSITIVOS ACTIVOS'!B:D,3,FALSE)</f>
        <v>no aplica</v>
      </c>
      <c r="O242" t="str">
        <f>+VLOOKUP(D242,'DISPOSITIVOS ACTIVOS'!B:G,6,FALSE)</f>
        <v>IPAD SALES</v>
      </c>
      <c r="P242" t="str">
        <f>+VLOOKUP(D242,'DISPOSITIVOS ACTIVOS'!$B$1:$H$299,7,FALSE)</f>
        <v>ATLANTA</v>
      </c>
      <c r="Q242" t="str">
        <f>IFERROR(+VLOOKUP(D242,'[1]Migracion feb25 Ver to ATT'!$B:$B,1,FALSE), "NO")</f>
        <v>NO</v>
      </c>
      <c r="R242" s="26">
        <f t="shared" si="7"/>
        <v>25</v>
      </c>
    </row>
    <row r="243" spans="1:18" x14ac:dyDescent="0.3">
      <c r="A243" t="s">
        <v>22</v>
      </c>
      <c r="B243">
        <v>25</v>
      </c>
      <c r="C243">
        <v>4</v>
      </c>
      <c r="D243" s="7" t="s">
        <v>223</v>
      </c>
      <c r="E243" s="7" t="s">
        <v>224</v>
      </c>
      <c r="F243" s="7" t="s">
        <v>497</v>
      </c>
      <c r="G243" s="35" t="s">
        <v>428</v>
      </c>
      <c r="H243" s="35"/>
      <c r="I243" s="7" t="s">
        <v>287</v>
      </c>
      <c r="J243" s="35" t="s">
        <v>30</v>
      </c>
      <c r="K243" s="35" t="s">
        <v>429</v>
      </c>
      <c r="L243" s="7" t="s">
        <v>498</v>
      </c>
      <c r="M243" s="41">
        <v>28.59</v>
      </c>
      <c r="N243" t="str">
        <f>+VLOOKUP(D243,'DISPOSITIVOS ACTIVOS'!B:D,3,FALSE)</f>
        <v>no aplica</v>
      </c>
      <c r="O243" t="str">
        <f>+VLOOKUP(D243,'DISPOSITIVOS ACTIVOS'!B:G,6,FALSE)</f>
        <v>GABRIEL ABOUK...</v>
      </c>
      <c r="P243" t="str">
        <f>+VLOOKUP(D243,'DISPOSITIVOS ACTIVOS'!$B$1:$H$299,7,FALSE)</f>
        <v>ATLANTA</v>
      </c>
      <c r="Q243" t="str">
        <f>IFERROR(+VLOOKUP(D243,'[1]Migracion feb25 Ver to ATT'!$B:$B,1,FALSE), "NO")</f>
        <v>NO</v>
      </c>
      <c r="R243" s="26">
        <f t="shared" si="7"/>
        <v>25</v>
      </c>
    </row>
    <row r="244" spans="1:18" x14ac:dyDescent="0.3">
      <c r="A244" t="s">
        <v>22</v>
      </c>
      <c r="B244">
        <v>25</v>
      </c>
      <c r="C244">
        <v>4</v>
      </c>
      <c r="D244" s="7" t="s">
        <v>225</v>
      </c>
      <c r="E244" s="7" t="s">
        <v>226</v>
      </c>
      <c r="F244" s="7" t="s">
        <v>499</v>
      </c>
      <c r="G244" s="7" t="s">
        <v>428</v>
      </c>
      <c r="H244" s="35"/>
      <c r="I244" s="35" t="s">
        <v>287</v>
      </c>
      <c r="J244" s="35" t="s">
        <v>30</v>
      </c>
      <c r="K244" s="35" t="s">
        <v>429</v>
      </c>
      <c r="L244" s="7" t="s">
        <v>498</v>
      </c>
      <c r="M244" s="41">
        <v>28.59</v>
      </c>
      <c r="N244" t="str">
        <f>+VLOOKUP(D244,'DISPOSITIVOS ACTIVOS'!B:D,3,FALSE)</f>
        <v>no aplica</v>
      </c>
      <c r="O244" t="str">
        <f>+VLOOKUP(D244,'DISPOSITIVOS ACTIVOS'!B:G,6,FALSE)</f>
        <v>GUSTAVO MORILLO</v>
      </c>
      <c r="P244" t="str">
        <f>+VLOOKUP(D244,'DISPOSITIVOS ACTIVOS'!$B$1:$H$299,7,FALSE)</f>
        <v>ATLANTA</v>
      </c>
      <c r="Q244" t="str">
        <f>IFERROR(+VLOOKUP(D244,'[1]Migracion feb25 Ver to ATT'!$B:$B,1,FALSE), "NO")</f>
        <v>NO</v>
      </c>
      <c r="R244" s="26">
        <f t="shared" si="7"/>
        <v>25</v>
      </c>
    </row>
    <row r="245" spans="1:18" x14ac:dyDescent="0.3">
      <c r="A245" t="s">
        <v>22</v>
      </c>
      <c r="B245">
        <v>25</v>
      </c>
      <c r="C245">
        <v>4</v>
      </c>
      <c r="D245" s="7" t="s">
        <v>227</v>
      </c>
      <c r="E245" s="7" t="s">
        <v>228</v>
      </c>
      <c r="F245" s="7" t="s">
        <v>500</v>
      </c>
      <c r="G245" s="35" t="s">
        <v>428</v>
      </c>
      <c r="H245" s="35"/>
      <c r="I245" s="7" t="s">
        <v>287</v>
      </c>
      <c r="J245" s="35" t="s">
        <v>30</v>
      </c>
      <c r="K245" s="35" t="s">
        <v>429</v>
      </c>
      <c r="L245" s="7" t="s">
        <v>498</v>
      </c>
      <c r="M245" s="41">
        <v>28.59</v>
      </c>
      <c r="N245" t="str">
        <f>+VLOOKUP(D245,'DISPOSITIVOS ACTIVOS'!B:D,3,FALSE)</f>
        <v>no aplica</v>
      </c>
      <c r="O245" t="str">
        <f>+VLOOKUP(D245,'DISPOSITIVOS ACTIVOS'!B:G,6,FALSE)</f>
        <v>ROSALINA SOCORRO</v>
      </c>
      <c r="P245" t="str">
        <f>+VLOOKUP(D245,'DISPOSITIVOS ACTIVOS'!$B$1:$H$299,7,FALSE)</f>
        <v>ATLANTA</v>
      </c>
      <c r="Q245" t="str">
        <f>IFERROR(+VLOOKUP(D245,'[1]Migracion feb25 Ver to ATT'!$B:$B,1,FALSE), "NO")</f>
        <v>NO</v>
      </c>
      <c r="R245" s="26">
        <f t="shared" si="7"/>
        <v>25</v>
      </c>
    </row>
    <row r="246" spans="1:18" x14ac:dyDescent="0.3">
      <c r="A246" t="s">
        <v>22</v>
      </c>
      <c r="B246">
        <v>25</v>
      </c>
      <c r="C246">
        <v>4</v>
      </c>
      <c r="D246" s="7" t="s">
        <v>31</v>
      </c>
      <c r="E246" s="7" t="s">
        <v>29</v>
      </c>
      <c r="F246" s="7" t="s">
        <v>501</v>
      </c>
      <c r="G246" s="35" t="s">
        <v>496</v>
      </c>
      <c r="H246" s="35"/>
      <c r="I246" s="7" t="s">
        <v>297</v>
      </c>
      <c r="J246" s="35" t="s">
        <v>30</v>
      </c>
      <c r="K246" s="35" t="s">
        <v>264</v>
      </c>
      <c r="L246" s="7"/>
      <c r="M246">
        <v>14.25</v>
      </c>
      <c r="N246" t="str">
        <f>+VLOOKUP(D246,'DISPOSITIVOS ACTIVOS'!B:D,3,FALSE)</f>
        <v>no aplica</v>
      </c>
      <c r="O246" t="str">
        <f>+VLOOKUP(D246,'DISPOSITIVOS ACTIVOS'!B:G,6,FALSE)</f>
        <v>IPAD SALES</v>
      </c>
      <c r="P246" t="str">
        <f>+VLOOKUP(D246,'DISPOSITIVOS ACTIVOS'!$B$1:$H$299,7,FALSE)</f>
        <v>ATLANTA</v>
      </c>
      <c r="Q246" t="str">
        <f>IFERROR(+VLOOKUP(D246,'[1]Migracion feb25 Ver to ATT'!$B:$B,1,FALSE), "NO")</f>
        <v>NO</v>
      </c>
      <c r="R246" s="26">
        <f t="shared" si="7"/>
        <v>25</v>
      </c>
    </row>
    <row r="247" spans="1:18" x14ac:dyDescent="0.3">
      <c r="A247" t="s">
        <v>22</v>
      </c>
      <c r="B247">
        <v>25</v>
      </c>
      <c r="C247">
        <v>4</v>
      </c>
      <c r="D247" s="7" t="s">
        <v>229</v>
      </c>
      <c r="E247" s="7" t="s">
        <v>230</v>
      </c>
      <c r="F247" s="7" t="s">
        <v>502</v>
      </c>
      <c r="G247" s="7" t="s">
        <v>428</v>
      </c>
      <c r="H247" s="35"/>
      <c r="I247" s="35" t="s">
        <v>287</v>
      </c>
      <c r="J247" s="35" t="s">
        <v>30</v>
      </c>
      <c r="K247" s="35" t="s">
        <v>429</v>
      </c>
      <c r="L247" s="7" t="s">
        <v>498</v>
      </c>
      <c r="M247" s="41">
        <v>28.59</v>
      </c>
      <c r="N247" t="str">
        <f>+VLOOKUP(D247,'DISPOSITIVOS ACTIVOS'!B:D,3,FALSE)</f>
        <v>no aplica</v>
      </c>
      <c r="O247" t="str">
        <f>+VLOOKUP(D247,'DISPOSITIVOS ACTIVOS'!B:G,6,FALSE)</f>
        <v>ABIGAIL QUINTERO</v>
      </c>
      <c r="P247" t="str">
        <f>+VLOOKUP(D247,'DISPOSITIVOS ACTIVOS'!$B$1:$H$299,7,FALSE)</f>
        <v>ATLANTA</v>
      </c>
      <c r="Q247" t="str">
        <f>IFERROR(+VLOOKUP(D247,'[1]Migracion feb25 Ver to ATT'!$B:$B,1,FALSE), "NO")</f>
        <v>NO</v>
      </c>
      <c r="R247" s="26">
        <f t="shared" si="7"/>
        <v>25</v>
      </c>
    </row>
    <row r="248" spans="1:18" x14ac:dyDescent="0.3">
      <c r="A248" t="s">
        <v>22</v>
      </c>
      <c r="B248">
        <v>25</v>
      </c>
      <c r="C248">
        <v>4</v>
      </c>
      <c r="D248" s="7" t="s">
        <v>32</v>
      </c>
      <c r="E248" s="7" t="s">
        <v>29</v>
      </c>
      <c r="F248" s="7" t="s">
        <v>503</v>
      </c>
      <c r="G248" s="35" t="s">
        <v>496</v>
      </c>
      <c r="H248" s="35"/>
      <c r="I248" s="7" t="s">
        <v>297</v>
      </c>
      <c r="J248" s="35" t="s">
        <v>30</v>
      </c>
      <c r="K248" s="35" t="s">
        <v>264</v>
      </c>
      <c r="L248" s="7"/>
      <c r="M248">
        <v>14.25</v>
      </c>
      <c r="N248" t="str">
        <f>+VLOOKUP(D248,'DISPOSITIVOS ACTIVOS'!B:D,3,FALSE)</f>
        <v>no aplica</v>
      </c>
      <c r="O248" t="str">
        <f>+VLOOKUP(D248,'DISPOSITIVOS ACTIVOS'!B:G,6,FALSE)</f>
        <v>IPAD SALES</v>
      </c>
      <c r="P248" t="str">
        <f>+VLOOKUP(D248,'DISPOSITIVOS ACTIVOS'!$B$1:$H$299,7,FALSE)</f>
        <v>ATLANTA</v>
      </c>
      <c r="Q248" t="str">
        <f>IFERROR(+VLOOKUP(D248,'[1]Migracion feb25 Ver to ATT'!$B:$B,1,FALSE), "NO")</f>
        <v>NO</v>
      </c>
      <c r="R248" s="26">
        <f t="shared" si="7"/>
        <v>25</v>
      </c>
    </row>
    <row r="249" spans="1:18" x14ac:dyDescent="0.3">
      <c r="A249" t="s">
        <v>22</v>
      </c>
      <c r="B249">
        <v>25</v>
      </c>
      <c r="C249">
        <v>4</v>
      </c>
      <c r="D249" s="7" t="s">
        <v>231</v>
      </c>
      <c r="E249" s="7" t="s">
        <v>232</v>
      </c>
      <c r="F249" s="7" t="s">
        <v>504</v>
      </c>
      <c r="G249" s="35" t="s">
        <v>286</v>
      </c>
      <c r="H249" s="35"/>
      <c r="I249" s="7" t="s">
        <v>287</v>
      </c>
      <c r="J249" s="35" t="s">
        <v>30</v>
      </c>
      <c r="K249" s="35" t="s">
        <v>292</v>
      </c>
      <c r="L249" s="7" t="s">
        <v>293</v>
      </c>
      <c r="M249" s="41">
        <v>31.7</v>
      </c>
      <c r="N249" s="4" t="s">
        <v>191</v>
      </c>
      <c r="O249" t="str">
        <f>+VLOOKUP(D249,'DISPOSITIVOS ACTIVOS'!B:G,6,FALSE)</f>
        <v>ESMERALDA WILSON</v>
      </c>
      <c r="P249" t="str">
        <f>+VLOOKUP(D249,'DISPOSITIVOS ACTIVOS'!$B$1:$H$299,7,FALSE)</f>
        <v>SALES CENTRAL</v>
      </c>
      <c r="Q249" t="str">
        <f>IFERROR(+VLOOKUP(D249,'[1]Migracion feb25 Ver to ATT'!$B:$B,1,FALSE), "NO")</f>
        <v>859-321-3539</v>
      </c>
      <c r="R249" s="26">
        <f t="shared" si="7"/>
        <v>15</v>
      </c>
    </row>
    <row r="250" spans="1:18" x14ac:dyDescent="0.3">
      <c r="A250" t="s">
        <v>22</v>
      </c>
      <c r="B250">
        <v>25</v>
      </c>
      <c r="C250">
        <v>4</v>
      </c>
      <c r="D250" s="7" t="s">
        <v>233</v>
      </c>
      <c r="E250" s="7" t="s">
        <v>234</v>
      </c>
      <c r="F250" s="7" t="s">
        <v>505</v>
      </c>
      <c r="G250" s="7" t="s">
        <v>286</v>
      </c>
      <c r="H250" s="35"/>
      <c r="I250" s="35" t="s">
        <v>287</v>
      </c>
      <c r="J250" s="35" t="s">
        <v>288</v>
      </c>
      <c r="K250" s="35" t="s">
        <v>289</v>
      </c>
      <c r="L250" s="7" t="s">
        <v>308</v>
      </c>
      <c r="M250" s="41">
        <v>35.409999999999997</v>
      </c>
      <c r="N250" t="str">
        <f>+VLOOKUP(D250,'DISPOSITIVOS ACTIVOS'!B:D,3,FALSE)</f>
        <v>Iphone</v>
      </c>
      <c r="O250" t="str">
        <f>+VLOOKUP(D250,'DISPOSITIVOS ACTIVOS'!B:G,6,FALSE)</f>
        <v>ROJAS, FABIOLA V</v>
      </c>
      <c r="P250" t="str">
        <f>+VLOOKUP(D250,'DISPOSITIVOS ACTIVOS'!$B$1:$H$299,7,FALSE)</f>
        <v>MERCHANDISER CENTRAL</v>
      </c>
      <c r="Q250" t="str">
        <f>IFERROR(+VLOOKUP(D250,'[1]Migracion feb25 Ver to ATT'!$B:$B,1,FALSE), "NO")</f>
        <v>NO</v>
      </c>
      <c r="R250" s="26">
        <f t="shared" si="7"/>
        <v>25</v>
      </c>
    </row>
    <row r="251" spans="1:18" x14ac:dyDescent="0.3">
      <c r="A251" t="s">
        <v>22</v>
      </c>
      <c r="B251">
        <v>25</v>
      </c>
      <c r="C251">
        <v>4</v>
      </c>
      <c r="D251" s="7" t="s">
        <v>235</v>
      </c>
      <c r="E251" s="7" t="s">
        <v>236</v>
      </c>
      <c r="F251" s="7" t="s">
        <v>506</v>
      </c>
      <c r="G251" s="35" t="s">
        <v>286</v>
      </c>
      <c r="H251" s="35"/>
      <c r="I251" s="7" t="s">
        <v>287</v>
      </c>
      <c r="J251" s="35" t="s">
        <v>30</v>
      </c>
      <c r="K251" s="35" t="s">
        <v>292</v>
      </c>
      <c r="L251" s="7" t="s">
        <v>293</v>
      </c>
      <c r="M251" s="41">
        <v>31.7</v>
      </c>
      <c r="N251" t="str">
        <f>+VLOOKUP(D251,'DISPOSITIVOS ACTIVOS'!B:D,3,FALSE)</f>
        <v>Iphone</v>
      </c>
      <c r="O251" t="str">
        <f>+VLOOKUP(D251,'DISPOSITIVOS ACTIVOS'!B:G,6,FALSE)</f>
        <v>VELIZ, CARLOS A</v>
      </c>
      <c r="P251" t="str">
        <f>+VLOOKUP(D251,'DISPOSITIVOS ACTIVOS'!$B$1:$H$299,7,FALSE)</f>
        <v>SALES CENTRAL</v>
      </c>
      <c r="Q251" t="str">
        <f>IFERROR(+VLOOKUP(D251,'[1]Migracion feb25 Ver to ATT'!$B:$B,1,FALSE), "NO")</f>
        <v>865-396-3526</v>
      </c>
      <c r="R251" s="26">
        <f t="shared" si="7"/>
        <v>15</v>
      </c>
    </row>
    <row r="252" spans="1:18" x14ac:dyDescent="0.3">
      <c r="A252" t="s">
        <v>22</v>
      </c>
      <c r="B252">
        <v>25</v>
      </c>
      <c r="C252">
        <v>4</v>
      </c>
      <c r="D252" s="7" t="s">
        <v>237</v>
      </c>
      <c r="E252" s="7" t="s">
        <v>238</v>
      </c>
      <c r="F252" s="7" t="s">
        <v>507</v>
      </c>
      <c r="G252" s="35" t="s">
        <v>332</v>
      </c>
      <c r="H252" s="35"/>
      <c r="I252" s="7" t="s">
        <v>297</v>
      </c>
      <c r="J252" s="35" t="s">
        <v>30</v>
      </c>
      <c r="K252" s="35" t="s">
        <v>264</v>
      </c>
      <c r="L252" s="7"/>
      <c r="M252">
        <v>3.75</v>
      </c>
      <c r="N252" t="str">
        <f>+VLOOKUP(D252,'DISPOSITIVOS ACTIVOS'!B:D,3,FALSE)</f>
        <v>Ipad</v>
      </c>
      <c r="O252" t="str">
        <f>+VLOOKUP(D252,'DISPOSITIVOS ACTIVOS'!B:G,6,FALSE)</f>
        <v>VELIZ, CARLOS A</v>
      </c>
      <c r="P252" t="str">
        <f>+VLOOKUP(D252,'DISPOSITIVOS ACTIVOS'!$B$1:$H$299,7,FALSE)</f>
        <v>SALES CENTRAL</v>
      </c>
      <c r="Q252" t="str">
        <f>IFERROR(+VLOOKUP(D252,'[1]Migracion feb25 Ver to ATT'!$B:$B,1,FALSE), "NO")</f>
        <v>NO</v>
      </c>
      <c r="R252" s="26">
        <f t="shared" si="7"/>
        <v>25</v>
      </c>
    </row>
    <row r="253" spans="1:18" x14ac:dyDescent="0.3">
      <c r="A253" t="s">
        <v>22</v>
      </c>
      <c r="B253">
        <v>25</v>
      </c>
      <c r="C253">
        <v>4</v>
      </c>
      <c r="D253" s="7" t="s">
        <v>239</v>
      </c>
      <c r="E253" s="7" t="s">
        <v>240</v>
      </c>
      <c r="F253" s="7" t="s">
        <v>508</v>
      </c>
      <c r="G253" s="7" t="s">
        <v>286</v>
      </c>
      <c r="H253" s="35"/>
      <c r="I253" s="35" t="s">
        <v>287</v>
      </c>
      <c r="J253" s="35" t="s">
        <v>30</v>
      </c>
      <c r="K253" s="35" t="s">
        <v>292</v>
      </c>
      <c r="L253" s="7" t="s">
        <v>293</v>
      </c>
      <c r="M253" s="41">
        <v>31.7</v>
      </c>
      <c r="N253" t="str">
        <f>+VLOOKUP(D253,'DISPOSITIVOS ACTIVOS'!B:D,3,FALSE)</f>
        <v>Iphone</v>
      </c>
      <c r="O253" t="str">
        <f>+VLOOKUP(D253,'DISPOSITIVOS ACTIVOS'!B:G,6,FALSE)</f>
        <v>RODRIGUEZ, VERUUZKO</v>
      </c>
      <c r="P253" t="str">
        <f>+VLOOKUP(D253,'DISPOSITIVOS ACTIVOS'!$B$1:$H$299,7,FALSE)</f>
        <v>SALES CENTRAL</v>
      </c>
      <c r="Q253" t="str">
        <f>IFERROR(+VLOOKUP(D253,'[1]Migracion feb25 Ver to ATT'!$B:$B,1,FALSE), "NO")</f>
        <v>901-275-5428</v>
      </c>
      <c r="R253" s="26">
        <f t="shared" si="7"/>
        <v>15</v>
      </c>
    </row>
    <row r="254" spans="1:18" x14ac:dyDescent="0.3">
      <c r="A254" t="s">
        <v>22</v>
      </c>
      <c r="B254">
        <v>25</v>
      </c>
      <c r="C254">
        <v>4</v>
      </c>
      <c r="D254" s="7" t="s">
        <v>241</v>
      </c>
      <c r="E254" s="7" t="s">
        <v>242</v>
      </c>
      <c r="F254" s="7" t="s">
        <v>509</v>
      </c>
      <c r="G254" s="35" t="s">
        <v>286</v>
      </c>
      <c r="H254" s="35"/>
      <c r="I254" s="7" t="s">
        <v>287</v>
      </c>
      <c r="J254" s="35" t="s">
        <v>30</v>
      </c>
      <c r="K254" s="35" t="s">
        <v>289</v>
      </c>
      <c r="L254" s="7" t="s">
        <v>308</v>
      </c>
      <c r="M254" s="41">
        <v>30.41</v>
      </c>
      <c r="N254" t="str">
        <f>+VLOOKUP(D254,'DISPOSITIVOS ACTIVOS'!B:D,3,FALSE)</f>
        <v>Galaxy</v>
      </c>
      <c r="O254" t="str">
        <f>+VLOOKUP(D254,'DISPOSITIVOS ACTIVOS'!B:G,6,FALSE)</f>
        <v>RODRIGUEZ SR, CHRISTIAN MICHEAL</v>
      </c>
      <c r="P254" t="str">
        <f>+VLOOKUP(D254,'DISPOSITIVOS ACTIVOS'!$B$1:$H$299,7,FALSE)</f>
        <v>LOGISTIC SOUTH</v>
      </c>
      <c r="Q254" t="str">
        <f>IFERROR(+VLOOKUP(D254,'[1]Migracion feb25 Ver to ATT'!$B:$B,1,FALSE), "NO")</f>
        <v>NO</v>
      </c>
      <c r="R254" s="26">
        <f t="shared" si="7"/>
        <v>25</v>
      </c>
    </row>
    <row r="255" spans="1:18" x14ac:dyDescent="0.3">
      <c r="A255" t="s">
        <v>22</v>
      </c>
      <c r="B255">
        <v>25</v>
      </c>
      <c r="C255">
        <v>4</v>
      </c>
      <c r="D255" s="7" t="s">
        <v>243</v>
      </c>
      <c r="E255" s="7" t="s">
        <v>244</v>
      </c>
      <c r="F255" s="7" t="s">
        <v>510</v>
      </c>
      <c r="G255" s="35" t="s">
        <v>335</v>
      </c>
      <c r="H255" s="35"/>
      <c r="I255" s="7" t="s">
        <v>287</v>
      </c>
      <c r="J255" s="35" t="s">
        <v>30</v>
      </c>
      <c r="K255" s="35" t="s">
        <v>292</v>
      </c>
      <c r="L255" s="7" t="s">
        <v>293</v>
      </c>
      <c r="M255">
        <v>13.37</v>
      </c>
      <c r="N255" t="str">
        <f>+VLOOKUP(D255,'DISPOSITIVOS ACTIVOS'!B:D,3,FALSE)</f>
        <v xml:space="preserve">Galaxy </v>
      </c>
      <c r="O255" t="str">
        <f>+VLOOKUP(D255,'DISPOSITIVOS ACTIVOS'!B:G,6,FALSE)</f>
        <v>SUAREZ, ANDRES E</v>
      </c>
      <c r="P255" t="str">
        <f>+VLOOKUP(D255,'DISPOSITIVOS ACTIVOS'!$B$1:$H$299,7,FALSE)</f>
        <v>LOGISTICS CENTRAL</v>
      </c>
      <c r="Q255" t="str">
        <f>IFERROR(+VLOOKUP(D255,'[1]Migracion feb25 Ver to ATT'!$B:$B,1,FALSE), "NO")</f>
        <v>901-427-2093</v>
      </c>
      <c r="R255" s="26">
        <f t="shared" si="7"/>
        <v>15</v>
      </c>
    </row>
    <row r="256" spans="1:18" x14ac:dyDescent="0.3">
      <c r="A256" t="s">
        <v>22</v>
      </c>
      <c r="B256">
        <v>25</v>
      </c>
      <c r="C256">
        <v>4</v>
      </c>
      <c r="D256" s="7" t="s">
        <v>245</v>
      </c>
      <c r="E256" s="7" t="s">
        <v>246</v>
      </c>
      <c r="F256" s="7" t="s">
        <v>511</v>
      </c>
      <c r="G256" s="7" t="s">
        <v>317</v>
      </c>
      <c r="H256" s="35"/>
      <c r="I256" s="35" t="s">
        <v>30</v>
      </c>
      <c r="J256" s="35" t="s">
        <v>288</v>
      </c>
      <c r="K256" s="35" t="s">
        <v>329</v>
      </c>
      <c r="L256" s="7" t="s">
        <v>330</v>
      </c>
      <c r="M256">
        <v>-30.93</v>
      </c>
      <c r="N256" s="4" t="s">
        <v>191</v>
      </c>
      <c r="O256" t="e">
        <f>+VLOOKUP(D256,'DISPOSITIVOS ACTIVOS'!B:G,6,FALSE)</f>
        <v>#N/A</v>
      </c>
      <c r="P256" t="e">
        <f>+VLOOKUP(D256,'DISPOSITIVOS ACTIVOS'!$B$1:$H$299,7,FALSE)</f>
        <v>#N/A</v>
      </c>
      <c r="Q256" t="str">
        <f>IFERROR(+VLOOKUP(D256,'[1]Migracion feb25 Ver to ATT'!$B:$B,1,FALSE), "NO")</f>
        <v>NO</v>
      </c>
      <c r="R256" s="26">
        <f>+M256</f>
        <v>-30.93</v>
      </c>
    </row>
    <row r="257" spans="1:18" x14ac:dyDescent="0.3">
      <c r="A257" t="s">
        <v>22</v>
      </c>
      <c r="B257">
        <v>25</v>
      </c>
      <c r="C257">
        <v>4</v>
      </c>
      <c r="D257" s="7" t="s">
        <v>33</v>
      </c>
      <c r="E257" s="7" t="s">
        <v>34</v>
      </c>
      <c r="F257" s="7" t="s">
        <v>512</v>
      </c>
      <c r="G257" s="35" t="s">
        <v>513</v>
      </c>
      <c r="H257" s="35"/>
      <c r="I257" s="7" t="s">
        <v>287</v>
      </c>
      <c r="J257" s="35" t="s">
        <v>514</v>
      </c>
      <c r="K257" s="35" t="s">
        <v>515</v>
      </c>
      <c r="L257" s="7" t="s">
        <v>516</v>
      </c>
      <c r="M257" s="41">
        <v>33.75</v>
      </c>
      <c r="N257" t="str">
        <f>+VLOOKUP(D257,'DISPOSITIVOS ACTIVOS'!B:D,3,FALSE)</f>
        <v>Iphone</v>
      </c>
      <c r="O257" t="str">
        <f>+VLOOKUP(D257,'DISPOSITIVOS ACTIVOS'!B:G,6,FALSE)</f>
        <v>MADRIGAL GARCIA, HELEN C</v>
      </c>
      <c r="P257" t="str">
        <f>+VLOOKUP(D257,'DISPOSITIVOS ACTIVOS'!$B$1:$H$299,7,FALSE)</f>
        <v>SALES NORTH</v>
      </c>
      <c r="Q257" t="str">
        <f>IFERROR(+VLOOKUP(D257,'[1]Migracion feb25 Ver to ATT'!$B:$B,1,FALSE), "NO")</f>
        <v>NO</v>
      </c>
      <c r="R257" s="26">
        <f t="shared" si="7"/>
        <v>25</v>
      </c>
    </row>
    <row r="258" spans="1:18" x14ac:dyDescent="0.3">
      <c r="A258" t="s">
        <v>22</v>
      </c>
      <c r="B258">
        <v>25</v>
      </c>
      <c r="C258">
        <v>4</v>
      </c>
      <c r="D258" s="7" t="s">
        <v>53</v>
      </c>
      <c r="E258" s="7" t="s">
        <v>54</v>
      </c>
      <c r="F258" s="7" t="s">
        <v>517</v>
      </c>
      <c r="G258" s="35" t="s">
        <v>296</v>
      </c>
      <c r="H258" s="35"/>
      <c r="I258" s="7" t="s">
        <v>297</v>
      </c>
      <c r="J258" s="35" t="s">
        <v>30</v>
      </c>
      <c r="K258" s="35" t="s">
        <v>264</v>
      </c>
      <c r="L258" s="7"/>
      <c r="M258" s="41">
        <v>30.75</v>
      </c>
      <c r="N258" t="str">
        <f>+VLOOKUP(D258,'DISPOSITIVOS ACTIVOS'!B:D,3,FALSE)</f>
        <v>Ipad</v>
      </c>
      <c r="O258" t="str">
        <f>+VLOOKUP(D258,'DISPOSITIVOS ACTIVOS'!B:G,6,FALSE)</f>
        <v>MADRIGAL GARCIA, HELEN C</v>
      </c>
      <c r="P258" t="str">
        <f>+VLOOKUP(D258,'DISPOSITIVOS ACTIVOS'!$B$1:$H$299,7,FALSE)</f>
        <v>SALES NORTH</v>
      </c>
      <c r="Q258" t="str">
        <f>IFERROR(+VLOOKUP(D258,'[1]Migracion feb25 Ver to ATT'!$B:$B,1,FALSE), "NO")</f>
        <v>NO</v>
      </c>
      <c r="R258" s="26">
        <f t="shared" si="7"/>
        <v>25</v>
      </c>
    </row>
    <row r="259" spans="1:18" x14ac:dyDescent="0.3">
      <c r="A259" t="s">
        <v>22</v>
      </c>
      <c r="B259">
        <v>25</v>
      </c>
      <c r="C259">
        <v>4</v>
      </c>
      <c r="D259" s="7" t="s">
        <v>247</v>
      </c>
      <c r="E259" s="7" t="s">
        <v>248</v>
      </c>
      <c r="F259" s="7" t="s">
        <v>518</v>
      </c>
      <c r="G259" s="7" t="s">
        <v>335</v>
      </c>
      <c r="H259" s="35"/>
      <c r="I259" s="35" t="s">
        <v>287</v>
      </c>
      <c r="J259" s="35" t="s">
        <v>30</v>
      </c>
      <c r="K259" s="35" t="s">
        <v>292</v>
      </c>
      <c r="L259" s="7" t="s">
        <v>293</v>
      </c>
      <c r="M259">
        <v>13.37</v>
      </c>
      <c r="N259" t="str">
        <f>+VLOOKUP(D259,'DISPOSITIVOS ACTIVOS'!B:D,3,FALSE)</f>
        <v xml:space="preserve">Galaxy </v>
      </c>
      <c r="O259" t="str">
        <f>+VLOOKUP(D259,'DISPOSITIVOS ACTIVOS'!B:G,6,FALSE)</f>
        <v>RODRIGUEZ MELENDEZ, CESAR ANIBAL</v>
      </c>
      <c r="P259" t="str">
        <f>+VLOOKUP(D259,'DISPOSITIVOS ACTIVOS'!$B$1:$H$299,7,FALSE)</f>
        <v>LOGISTICS NORTH</v>
      </c>
      <c r="Q259" t="str">
        <f>IFERROR(+VLOOKUP(D259,'[1]Migracion feb25 Ver to ATT'!$B:$B,1,FALSE), "NO")</f>
        <v>901-500-6953</v>
      </c>
      <c r="R259" s="26">
        <f t="shared" ref="R259:R264" si="8">+IF(Q259="NO",25,15)</f>
        <v>15</v>
      </c>
    </row>
    <row r="260" spans="1:18" x14ac:dyDescent="0.3">
      <c r="A260" t="s">
        <v>22</v>
      </c>
      <c r="B260">
        <v>25</v>
      </c>
      <c r="C260">
        <v>4</v>
      </c>
      <c r="D260" s="7" t="s">
        <v>249</v>
      </c>
      <c r="E260" s="7" t="s">
        <v>250</v>
      </c>
      <c r="F260" s="7" t="s">
        <v>519</v>
      </c>
      <c r="G260" s="35" t="s">
        <v>286</v>
      </c>
      <c r="H260" s="35"/>
      <c r="I260" s="7" t="s">
        <v>287</v>
      </c>
      <c r="J260" s="35" t="s">
        <v>30</v>
      </c>
      <c r="K260" s="35" t="s">
        <v>289</v>
      </c>
      <c r="L260" s="7" t="s">
        <v>308</v>
      </c>
      <c r="M260" s="41">
        <v>30.41</v>
      </c>
      <c r="N260" t="str">
        <f>+VLOOKUP(D260,'DISPOSITIVOS ACTIVOS'!B:D,3,FALSE)</f>
        <v>Iphone</v>
      </c>
      <c r="O260" t="str">
        <f>+VLOOKUP(D260,'DISPOSITIVOS ACTIVOS'!B:G,6,FALSE)</f>
        <v>AVALOS, JOSEFINA</v>
      </c>
      <c r="P260" t="str">
        <f>+VLOOKUP(D260,'DISPOSITIVOS ACTIVOS'!$B$1:$H$299,7,FALSE)</f>
        <v>SALES WEST</v>
      </c>
      <c r="Q260" t="str">
        <f>IFERROR(+VLOOKUP(D260,'[1]Migracion feb25 Ver to ATT'!$B:$B,1,FALSE), "NO")</f>
        <v>NO</v>
      </c>
      <c r="R260" s="26">
        <f t="shared" si="8"/>
        <v>25</v>
      </c>
    </row>
    <row r="261" spans="1:18" x14ac:dyDescent="0.3">
      <c r="A261" t="s">
        <v>22</v>
      </c>
      <c r="B261">
        <v>25</v>
      </c>
      <c r="C261">
        <v>4</v>
      </c>
      <c r="D261" s="7" t="s">
        <v>251</v>
      </c>
      <c r="E261" s="7" t="s">
        <v>252</v>
      </c>
      <c r="F261" s="7" t="s">
        <v>520</v>
      </c>
      <c r="G261" s="35" t="s">
        <v>335</v>
      </c>
      <c r="H261" s="35"/>
      <c r="I261" s="7" t="s">
        <v>287</v>
      </c>
      <c r="J261" s="35" t="s">
        <v>30</v>
      </c>
      <c r="K261" s="35" t="s">
        <v>292</v>
      </c>
      <c r="L261" s="7" t="s">
        <v>293</v>
      </c>
      <c r="M261">
        <v>13.37</v>
      </c>
      <c r="N261" t="str">
        <f>+VLOOKUP(D261,'DISPOSITIVOS ACTIVOS'!B:D,3,FALSE)</f>
        <v xml:space="preserve">Galaxy </v>
      </c>
      <c r="O261" t="str">
        <f>+VLOOKUP(D261,'DISPOSITIVOS ACTIVOS'!B:G,6,FALSE)</f>
        <v>DE LA TORRE, LUIS G</v>
      </c>
      <c r="P261" t="str">
        <f>+VLOOKUP(D261,'DISPOSITIVOS ACTIVOS'!$B$1:$H$299,7,FALSE)</f>
        <v>LOGISTICS WEST</v>
      </c>
      <c r="Q261" t="str">
        <f>IFERROR(+VLOOKUP(D261,'[1]Migracion feb25 Ver to ATT'!$B:$B,1,FALSE), "NO")</f>
        <v>901-585-9984</v>
      </c>
      <c r="R261" s="26">
        <f t="shared" si="8"/>
        <v>15</v>
      </c>
    </row>
    <row r="262" spans="1:18" x14ac:dyDescent="0.3">
      <c r="A262" t="s">
        <v>22</v>
      </c>
      <c r="B262">
        <v>25</v>
      </c>
      <c r="C262">
        <v>4</v>
      </c>
      <c r="D262" s="7" t="s">
        <v>253</v>
      </c>
      <c r="E262" s="7" t="s">
        <v>254</v>
      </c>
      <c r="F262" s="7" t="s">
        <v>521</v>
      </c>
      <c r="G262" s="7"/>
      <c r="H262" s="35">
        <v>6.34</v>
      </c>
      <c r="I262" s="35" t="s">
        <v>287</v>
      </c>
      <c r="J262" s="35" t="s">
        <v>30</v>
      </c>
      <c r="K262" s="35" t="s">
        <v>522</v>
      </c>
      <c r="L262" s="7" t="s">
        <v>523</v>
      </c>
      <c r="M262" s="41">
        <v>65.25</v>
      </c>
      <c r="N262" t="str">
        <f>+VLOOKUP(D262,'DISPOSITIVOS ACTIVOS'!B:D,3,FALSE)</f>
        <v xml:space="preserve">Galaxy </v>
      </c>
      <c r="O262" t="str">
        <f>+VLOOKUP(D262,'DISPOSITIVOS ACTIVOS'!B:G,6,FALSE)</f>
        <v>CORPUS, BENY A</v>
      </c>
      <c r="P262" t="str">
        <f>+VLOOKUP(D262,'DISPOSITIVOS ACTIVOS'!$B$1:$H$299,7,FALSE)</f>
        <v>LOGISTICS CENTRAL</v>
      </c>
      <c r="Q262" t="str">
        <f>IFERROR(+VLOOKUP(D262,'[1]Migracion feb25 Ver to ATT'!$B:$B,1,FALSE), "NO")</f>
        <v>901-607-5291</v>
      </c>
      <c r="R262" s="26">
        <f t="shared" si="8"/>
        <v>15</v>
      </c>
    </row>
    <row r="263" spans="1:18" x14ac:dyDescent="0.3">
      <c r="A263" t="s">
        <v>22</v>
      </c>
      <c r="B263">
        <v>25</v>
      </c>
      <c r="C263">
        <v>4</v>
      </c>
      <c r="D263" s="7" t="s">
        <v>255</v>
      </c>
      <c r="E263" s="7" t="s">
        <v>256</v>
      </c>
      <c r="F263" s="7" t="s">
        <v>524</v>
      </c>
      <c r="G263" s="35" t="s">
        <v>286</v>
      </c>
      <c r="H263" s="35"/>
      <c r="I263" s="7" t="s">
        <v>287</v>
      </c>
      <c r="J263" s="35" t="s">
        <v>318</v>
      </c>
      <c r="K263" s="35" t="s">
        <v>289</v>
      </c>
      <c r="L263" s="7" t="s">
        <v>308</v>
      </c>
      <c r="M263" s="41">
        <v>36.4</v>
      </c>
      <c r="N263" t="str">
        <f>+VLOOKUP(D263,'DISPOSITIVOS ACTIVOS'!B:D,3,FALSE)</f>
        <v>Iphone</v>
      </c>
      <c r="O263" t="str">
        <f>+VLOOKUP(D263,'DISPOSITIVOS ACTIVOS'!B:G,6,FALSE)</f>
        <v>CHANCHAMIRE, RAFAEL A</v>
      </c>
      <c r="P263" t="str">
        <f>+VLOOKUP(D263,'DISPOSITIVOS ACTIVOS'!$B$1:$H$299,7,FALSE)</f>
        <v>SALES WEST</v>
      </c>
      <c r="Q263" t="str">
        <f>IFERROR(+VLOOKUP(D263,'[1]Migracion feb25 Ver to ATT'!$B:$B,1,FALSE), "NO")</f>
        <v>NO</v>
      </c>
      <c r="R263" s="26">
        <f t="shared" si="8"/>
        <v>25</v>
      </c>
    </row>
    <row r="264" spans="1:18" x14ac:dyDescent="0.3">
      <c r="A264" t="s">
        <v>22</v>
      </c>
      <c r="B264">
        <v>25</v>
      </c>
      <c r="C264">
        <v>4</v>
      </c>
      <c r="D264" s="7" t="s">
        <v>257</v>
      </c>
      <c r="E264" s="7" t="s">
        <v>258</v>
      </c>
      <c r="F264" s="7" t="s">
        <v>525</v>
      </c>
      <c r="G264" s="35" t="s">
        <v>526</v>
      </c>
      <c r="H264" s="35"/>
      <c r="I264" s="7" t="s">
        <v>527</v>
      </c>
      <c r="J264" s="35" t="s">
        <v>30</v>
      </c>
      <c r="K264" s="35" t="s">
        <v>528</v>
      </c>
      <c r="L264" s="7" t="s">
        <v>529</v>
      </c>
      <c r="M264" s="41">
        <v>37.47</v>
      </c>
      <c r="N264" t="str">
        <f>+VLOOKUP(D264,'DISPOSITIVOS ACTIVOS'!B:D,3,FALSE)</f>
        <v>Iphone</v>
      </c>
      <c r="O264" t="str">
        <f>+VLOOKUP(D264,'DISPOSITIVOS ACTIVOS'!B:G,6,FALSE)</f>
        <v>FERREIRA, ANA CAROLINA</v>
      </c>
      <c r="P264" t="str">
        <f>+VLOOKUP(D264,'DISPOSITIVOS ACTIVOS'!$B$1:$H$299,7,FALSE)</f>
        <v>MERCHANDISER WEST</v>
      </c>
      <c r="Q264" t="str">
        <f>IFERROR(+VLOOKUP(D264,'[1]Migracion feb25 Ver to ATT'!$B:$B,1,FALSE), "NO")</f>
        <v>901-713-7796</v>
      </c>
      <c r="R264" s="26">
        <f t="shared" si="8"/>
        <v>15</v>
      </c>
    </row>
    <row r="265" spans="1:18" x14ac:dyDescent="0.3">
      <c r="A265" s="46" t="s">
        <v>22</v>
      </c>
      <c r="B265">
        <v>25</v>
      </c>
      <c r="C265">
        <v>5</v>
      </c>
      <c r="D265" s="37" t="s">
        <v>38</v>
      </c>
      <c r="E265" t="str">
        <f>+VLOOKUP(D265,'DISPOSITIVOS ACTIVOS'!$B:$G,6,FALSE)</f>
        <v>Backup Internet</v>
      </c>
      <c r="F265" s="47">
        <v>5</v>
      </c>
      <c r="G265" s="47" t="s">
        <v>30</v>
      </c>
      <c r="H265" s="48">
        <v>40</v>
      </c>
      <c r="I265" s="47" t="s">
        <v>30</v>
      </c>
      <c r="J265" s="47" t="s">
        <v>30</v>
      </c>
      <c r="K265" s="47" t="s">
        <v>30</v>
      </c>
      <c r="L265" s="47"/>
      <c r="M265" s="49">
        <v>40</v>
      </c>
      <c r="N265" t="str">
        <f>+VLOOKUP(D265,'DISPOSITIVOS ACTIVOS'!B:D,3,FALSE)</f>
        <v>no aplica</v>
      </c>
      <c r="O265" t="str">
        <f>+VLOOKUP(D265,'DISPOSITIVOS ACTIVOS'!B:G,6,FALSE)</f>
        <v>Backup Internet</v>
      </c>
      <c r="P265" t="str">
        <f>+VLOOKUP(D265,'DISPOSITIVOS ACTIVOS'!$B$1:$H$299,7,FALSE)</f>
        <v>SALES CENTRAL</v>
      </c>
      <c r="Q265" t="str">
        <f>IFERROR(+VLOOKUP(D265,'[1]Migracion feb25 Ver to ATT'!$B:$B,1,FALSE), "NO")</f>
        <v>NO</v>
      </c>
      <c r="R265" s="26">
        <f t="shared" ref="R265:R328" si="9">+IF(Q265="NO",25,15)</f>
        <v>25</v>
      </c>
    </row>
    <row r="266" spans="1:18" x14ac:dyDescent="0.3">
      <c r="A266" s="46" t="s">
        <v>22</v>
      </c>
      <c r="B266">
        <v>25</v>
      </c>
      <c r="C266">
        <v>5</v>
      </c>
      <c r="D266" s="37" t="s">
        <v>38</v>
      </c>
      <c r="E266" t="str">
        <f>+VLOOKUP(D266,'DISPOSITIVOS ACTIVOS'!$B:$G,6,FALSE)</f>
        <v>Backup Internet</v>
      </c>
      <c r="F266" s="50">
        <v>7</v>
      </c>
      <c r="G266" s="51">
        <v>-4.5</v>
      </c>
      <c r="H266" s="51">
        <v>15</v>
      </c>
      <c r="I266" s="50" t="s">
        <v>30</v>
      </c>
      <c r="J266" s="51">
        <v>3.75</v>
      </c>
      <c r="K266" s="50" t="s">
        <v>30</v>
      </c>
      <c r="L266" s="50"/>
      <c r="M266" s="52">
        <v>14.25</v>
      </c>
      <c r="N266" t="str">
        <f>+VLOOKUP(D266,'DISPOSITIVOS ACTIVOS'!B:D,3,FALSE)</f>
        <v>no aplica</v>
      </c>
      <c r="O266" t="str">
        <f>+VLOOKUP(D266,'DISPOSITIVOS ACTIVOS'!B:G,6,FALSE)</f>
        <v>Backup Internet</v>
      </c>
      <c r="P266" t="str">
        <f>+VLOOKUP(D266,'DISPOSITIVOS ACTIVOS'!$B$1:$H$299,7,FALSE)</f>
        <v>SALES CENTRAL</v>
      </c>
      <c r="Q266" t="str">
        <f>IFERROR(+VLOOKUP(D266,'[1]Migracion feb25 Ver to ATT'!$B:$B,1,FALSE), "NO")</f>
        <v>NO</v>
      </c>
      <c r="R266" s="26">
        <f t="shared" si="9"/>
        <v>25</v>
      </c>
    </row>
    <row r="267" spans="1:18" x14ac:dyDescent="0.3">
      <c r="A267" s="46" t="s">
        <v>22</v>
      </c>
      <c r="B267">
        <v>25</v>
      </c>
      <c r="C267">
        <v>5</v>
      </c>
      <c r="D267" s="37" t="s">
        <v>41</v>
      </c>
      <c r="E267" t="str">
        <f>+VLOOKUP(D267,'DISPOSITIVOS ACTIVOS'!$B:$G,6,FALSE)</f>
        <v>Backup Internet</v>
      </c>
      <c r="F267" s="47">
        <v>5</v>
      </c>
      <c r="G267" s="47" t="s">
        <v>30</v>
      </c>
      <c r="H267" s="48">
        <v>40</v>
      </c>
      <c r="I267" s="47" t="s">
        <v>30</v>
      </c>
      <c r="J267" s="47" t="s">
        <v>30</v>
      </c>
      <c r="K267" s="47" t="s">
        <v>30</v>
      </c>
      <c r="L267" s="47"/>
      <c r="M267" s="49">
        <v>40</v>
      </c>
      <c r="N267" t="str">
        <f>+VLOOKUP(D267,'DISPOSITIVOS ACTIVOS'!B:D,3,FALSE)</f>
        <v>no aplica</v>
      </c>
      <c r="O267" t="str">
        <f>+VLOOKUP(D267,'DISPOSITIVOS ACTIVOS'!B:G,6,FALSE)</f>
        <v>Backup Internet</v>
      </c>
      <c r="P267" t="str">
        <f>+VLOOKUP(D267,'DISPOSITIVOS ACTIVOS'!$B$1:$H$299,7,FALSE)</f>
        <v>SALES CENTRAL</v>
      </c>
      <c r="Q267" t="str">
        <f>IFERROR(+VLOOKUP(D267,'[1]Migracion feb25 Ver to ATT'!$B:$B,1,FALSE), "NO")</f>
        <v>NO</v>
      </c>
      <c r="R267" s="26">
        <f t="shared" si="9"/>
        <v>25</v>
      </c>
    </row>
    <row r="268" spans="1:18" x14ac:dyDescent="0.3">
      <c r="A268" s="46" t="s">
        <v>22</v>
      </c>
      <c r="B268">
        <v>25</v>
      </c>
      <c r="C268">
        <v>5</v>
      </c>
      <c r="D268" s="37" t="s">
        <v>41</v>
      </c>
      <c r="E268" t="str">
        <f>+VLOOKUP(D268,'DISPOSITIVOS ACTIVOS'!$B:$G,6,FALSE)</f>
        <v>Backup Internet</v>
      </c>
      <c r="F268" s="50">
        <v>9</v>
      </c>
      <c r="G268" s="51">
        <v>-4.5</v>
      </c>
      <c r="H268" s="51">
        <v>15</v>
      </c>
      <c r="I268" s="50" t="s">
        <v>30</v>
      </c>
      <c r="J268" s="51">
        <v>3.75</v>
      </c>
      <c r="K268" s="50" t="s">
        <v>30</v>
      </c>
      <c r="L268" s="50"/>
      <c r="M268" s="52">
        <v>14.25</v>
      </c>
      <c r="N268" t="str">
        <f>+VLOOKUP(D268,'DISPOSITIVOS ACTIVOS'!B:D,3,FALSE)</f>
        <v>no aplica</v>
      </c>
      <c r="O268" t="str">
        <f>+VLOOKUP(D268,'DISPOSITIVOS ACTIVOS'!B:G,6,FALSE)</f>
        <v>Backup Internet</v>
      </c>
      <c r="P268" t="str">
        <f>+VLOOKUP(D268,'DISPOSITIVOS ACTIVOS'!$B$1:$H$299,7,FALSE)</f>
        <v>SALES CENTRAL</v>
      </c>
      <c r="Q268" t="str">
        <f>IFERROR(+VLOOKUP(D268,'[1]Migracion feb25 Ver to ATT'!$B:$B,1,FALSE), "NO")</f>
        <v>NO</v>
      </c>
      <c r="R268" s="26">
        <f t="shared" si="9"/>
        <v>25</v>
      </c>
    </row>
    <row r="269" spans="1:18" x14ac:dyDescent="0.3">
      <c r="A269" s="46" t="s">
        <v>22</v>
      </c>
      <c r="B269">
        <v>25</v>
      </c>
      <c r="C269">
        <v>5</v>
      </c>
      <c r="D269" s="36" t="s">
        <v>63</v>
      </c>
      <c r="E269" t="str">
        <f>+VLOOKUP(D269,'DISPOSITIVOS ACTIVOS'!$B:$G,6,FALSE)</f>
        <v>MAITA, JOSE</v>
      </c>
      <c r="F269" s="47">
        <v>11</v>
      </c>
      <c r="G269" s="47" t="s">
        <v>30</v>
      </c>
      <c r="H269" s="48">
        <v>35</v>
      </c>
      <c r="I269" s="48">
        <v>5</v>
      </c>
      <c r="J269" s="48">
        <v>4.66</v>
      </c>
      <c r="K269" s="48">
        <v>2.78</v>
      </c>
      <c r="L269" s="47"/>
      <c r="M269" s="49">
        <v>47.44</v>
      </c>
      <c r="N269" t="str">
        <f>+VLOOKUP(D269,'DISPOSITIVOS ACTIVOS'!B:D,3,FALSE)</f>
        <v>Iphone</v>
      </c>
      <c r="O269" t="str">
        <f>+VLOOKUP(D269,'DISPOSITIVOS ACTIVOS'!B:G,6,FALSE)</f>
        <v>MAITA, JOSE</v>
      </c>
      <c r="P269" t="str">
        <f>+VLOOKUP(D269,'DISPOSITIVOS ACTIVOS'!$B$1:$H$299,7,FALSE)</f>
        <v>SALES SOUTH</v>
      </c>
      <c r="Q269" t="str">
        <f>IFERROR(+VLOOKUP(D269,'[1]Migracion feb25 Ver to ATT'!$B:$B,1,FALSE), "NO")</f>
        <v>NO</v>
      </c>
      <c r="R269" s="26">
        <f t="shared" si="9"/>
        <v>25</v>
      </c>
    </row>
    <row r="270" spans="1:18" x14ac:dyDescent="0.3">
      <c r="A270" s="46" t="s">
        <v>22</v>
      </c>
      <c r="B270">
        <v>25</v>
      </c>
      <c r="C270">
        <v>5</v>
      </c>
      <c r="D270" s="37" t="s">
        <v>65</v>
      </c>
      <c r="E270" t="str">
        <f>+VLOOKUP(D270,'DISPOSITIVOS ACTIVOS'!$B:$G,6,FALSE)</f>
        <v>SILVA R, ROSMARY JOSE</v>
      </c>
      <c r="F270" s="50">
        <v>13</v>
      </c>
      <c r="G270" s="50" t="s">
        <v>30</v>
      </c>
      <c r="H270" s="51">
        <v>35</v>
      </c>
      <c r="I270" s="50" t="s">
        <v>30</v>
      </c>
      <c r="J270" s="51">
        <v>4.66</v>
      </c>
      <c r="K270" s="51">
        <v>2.38</v>
      </c>
      <c r="L270" s="50"/>
      <c r="M270" s="52">
        <v>42.04</v>
      </c>
      <c r="N270" t="str">
        <f>+VLOOKUP(D270,'DISPOSITIVOS ACTIVOS'!B:D,3,FALSE)</f>
        <v>Iphone</v>
      </c>
      <c r="O270" t="str">
        <f>+VLOOKUP(D270,'DISPOSITIVOS ACTIVOS'!B:G,6,FALSE)</f>
        <v>SILVA R, ROSMARY JOSE</v>
      </c>
      <c r="P270" t="str">
        <f>+VLOOKUP(D270,'DISPOSITIVOS ACTIVOS'!$B$1:$H$299,7,FALSE)</f>
        <v>SALES SOUTH</v>
      </c>
      <c r="Q270" t="str">
        <f>IFERROR(+VLOOKUP(D270,'[1]Migracion feb25 Ver to ATT'!$B:$B,1,FALSE), "NO")</f>
        <v>205-529-6296</v>
      </c>
      <c r="R270" s="26">
        <f t="shared" si="9"/>
        <v>15</v>
      </c>
    </row>
    <row r="271" spans="1:18" x14ac:dyDescent="0.3">
      <c r="A271" s="46" t="s">
        <v>22</v>
      </c>
      <c r="B271">
        <v>25</v>
      </c>
      <c r="C271">
        <v>5</v>
      </c>
      <c r="D271" s="36" t="s">
        <v>67</v>
      </c>
      <c r="E271" t="str">
        <f>+VLOOKUP(D271,'DISPOSITIVOS ACTIVOS'!$B:$G,6,FALSE)</f>
        <v>GUERRERO, JESUS</v>
      </c>
      <c r="F271" s="47">
        <v>15</v>
      </c>
      <c r="G271" s="47" t="s">
        <v>30</v>
      </c>
      <c r="H271" s="48">
        <v>35</v>
      </c>
      <c r="I271" s="47" t="s">
        <v>30</v>
      </c>
      <c r="J271" s="48">
        <v>4.66</v>
      </c>
      <c r="K271" s="48">
        <v>2.38</v>
      </c>
      <c r="L271" s="47"/>
      <c r="M271" s="49">
        <v>42.04</v>
      </c>
      <c r="N271" t="str">
        <f>+VLOOKUP(D271,'DISPOSITIVOS ACTIVOS'!B:D,3,FALSE)</f>
        <v>Iphone</v>
      </c>
      <c r="O271" t="str">
        <f>+VLOOKUP(D271,'DISPOSITIVOS ACTIVOS'!B:G,6,FALSE)</f>
        <v>GUERRERO, JESUS</v>
      </c>
      <c r="P271" t="str">
        <f>+VLOOKUP(D271,'DISPOSITIVOS ACTIVOS'!$B$1:$H$299,7,FALSE)</f>
        <v>SALES SOUTH</v>
      </c>
      <c r="Q271" t="str">
        <f>IFERROR(+VLOOKUP(D271,'[1]Migracion feb25 Ver to ATT'!$B:$B,1,FALSE), "NO")</f>
        <v>205-767-8090</v>
      </c>
      <c r="R271" s="26">
        <f t="shared" si="9"/>
        <v>15</v>
      </c>
    </row>
    <row r="272" spans="1:18" x14ac:dyDescent="0.3">
      <c r="A272" s="46" t="s">
        <v>22</v>
      </c>
      <c r="B272">
        <v>25</v>
      </c>
      <c r="C272">
        <v>5</v>
      </c>
      <c r="D272" s="37" t="s">
        <v>49</v>
      </c>
      <c r="E272" t="str">
        <f>+VLOOKUP(D272,'DISPOSITIVOS ACTIVOS'!$B:$G,6,FALSE)</f>
        <v>FLORES, JOSE DANIEL</v>
      </c>
      <c r="F272" s="50">
        <v>17</v>
      </c>
      <c r="G272" s="50" t="s">
        <v>30</v>
      </c>
      <c r="H272" s="51">
        <v>15</v>
      </c>
      <c r="I272" s="50" t="s">
        <v>30</v>
      </c>
      <c r="J272" s="51">
        <v>3.75</v>
      </c>
      <c r="K272" s="50" t="s">
        <v>30</v>
      </c>
      <c r="L272" s="50"/>
      <c r="M272" s="52">
        <v>18.75</v>
      </c>
      <c r="N272" t="str">
        <f>+VLOOKUP(D272,'DISPOSITIVOS ACTIVOS'!B:D,3,FALSE)</f>
        <v>Ipad</v>
      </c>
      <c r="O272" t="str">
        <f>+VLOOKUP(D272,'DISPOSITIVOS ACTIVOS'!B:G,6,FALSE)</f>
        <v>FLORES, JOSE DANIEL</v>
      </c>
      <c r="P272" t="str">
        <f>+VLOOKUP(D272,'DISPOSITIVOS ACTIVOS'!$B$1:$H$299,7,FALSE)</f>
        <v>SALES SOUTH</v>
      </c>
      <c r="Q272" t="str">
        <f>IFERROR(+VLOOKUP(D272,'[1]Migracion feb25 Ver to ATT'!$B:$B,1,FALSE), "NO")</f>
        <v>NO</v>
      </c>
      <c r="R272" s="26">
        <f t="shared" si="9"/>
        <v>25</v>
      </c>
    </row>
    <row r="273" spans="1:19" x14ac:dyDescent="0.3">
      <c r="A273" s="46" t="s">
        <v>22</v>
      </c>
      <c r="B273">
        <v>25</v>
      </c>
      <c r="C273">
        <v>5</v>
      </c>
      <c r="D273" s="36" t="s">
        <v>69</v>
      </c>
      <c r="E273" t="str">
        <f>+VLOOKUP(D273,'DISPOSITIVOS ACTIVOS'!$B:$G,6,FALSE)</f>
        <v>FLORES, JOSE DANIEL</v>
      </c>
      <c r="F273" s="47">
        <v>19</v>
      </c>
      <c r="G273" s="47" t="s">
        <v>30</v>
      </c>
      <c r="H273" s="48">
        <v>35</v>
      </c>
      <c r="I273" s="48">
        <v>10.99</v>
      </c>
      <c r="J273" s="48">
        <v>4.66</v>
      </c>
      <c r="K273" s="48">
        <v>2.78</v>
      </c>
      <c r="L273" s="47"/>
      <c r="M273" s="49">
        <v>53.43</v>
      </c>
      <c r="N273" t="str">
        <f>+VLOOKUP(D273,'DISPOSITIVOS ACTIVOS'!B:D,3,FALSE)</f>
        <v>Iphone</v>
      </c>
      <c r="O273" t="str">
        <f>+VLOOKUP(D273,'DISPOSITIVOS ACTIVOS'!B:G,6,FALSE)</f>
        <v>FLORES, JOSE DANIEL</v>
      </c>
      <c r="P273" t="str">
        <f>+VLOOKUP(D273,'DISPOSITIVOS ACTIVOS'!$B$1:$H$299,7,FALSE)</f>
        <v>SALES SOUTH</v>
      </c>
      <c r="Q273" t="str">
        <f>IFERROR(+VLOOKUP(D273,'[1]Migracion feb25 Ver to ATT'!$B:$B,1,FALSE), "NO")</f>
        <v>NO</v>
      </c>
      <c r="R273" s="26">
        <f t="shared" si="9"/>
        <v>25</v>
      </c>
    </row>
    <row r="274" spans="1:19" x14ac:dyDescent="0.3">
      <c r="A274" s="46" t="s">
        <v>22</v>
      </c>
      <c r="B274">
        <v>25</v>
      </c>
      <c r="C274">
        <v>5</v>
      </c>
      <c r="D274" s="59" t="s">
        <v>300</v>
      </c>
      <c r="E274" s="4" t="str">
        <f>+VLOOKUP(D274,'DISPOSITIVOS ACTIVOS'!$B:$G,6,FALSE)</f>
        <v>backup</v>
      </c>
      <c r="F274" s="50">
        <v>21</v>
      </c>
      <c r="G274" s="50" t="s">
        <v>30</v>
      </c>
      <c r="H274" s="51">
        <v>25</v>
      </c>
      <c r="I274" s="50" t="s">
        <v>30</v>
      </c>
      <c r="J274" s="51">
        <v>6.08</v>
      </c>
      <c r="K274" s="51">
        <v>2.54</v>
      </c>
      <c r="L274" s="50"/>
      <c r="M274" s="52">
        <v>33.619999999999997</v>
      </c>
      <c r="N274">
        <f>+VLOOKUP(D274,'DISPOSITIVOS ACTIVOS'!B:D,3,FALSE)</f>
        <v>0</v>
      </c>
      <c r="O274" t="str">
        <f>+VLOOKUP(D274,'DISPOSITIVOS ACTIVOS'!B:G,6,FALSE)</f>
        <v>backup</v>
      </c>
      <c r="P274" t="str">
        <f>+VLOOKUP(D274,'DISPOSITIVOS ACTIVOS'!$B$1:$H$299,7,FALSE)</f>
        <v>SALES CENTRAL</v>
      </c>
      <c r="Q274" t="str">
        <f>IFERROR(+VLOOKUP(D274,'[1]Migracion feb25 Ver to ATT'!$B:$B,1,FALSE), "NO")</f>
        <v>NO</v>
      </c>
      <c r="R274" s="26">
        <f t="shared" si="9"/>
        <v>25</v>
      </c>
    </row>
    <row r="275" spans="1:19" x14ac:dyDescent="0.3">
      <c r="A275" s="46" t="s">
        <v>22</v>
      </c>
      <c r="B275">
        <v>25</v>
      </c>
      <c r="C275">
        <v>5</v>
      </c>
      <c r="D275" s="36" t="s">
        <v>71</v>
      </c>
      <c r="E275" t="str">
        <f>+VLOOKUP(D275,'DISPOSITIVOS ACTIVOS'!$B:$G,6,FALSE)</f>
        <v>LOPEZ, YESENIA</v>
      </c>
      <c r="F275" s="47">
        <v>23</v>
      </c>
      <c r="G275" s="47" t="s">
        <v>30</v>
      </c>
      <c r="H275" s="48">
        <v>35</v>
      </c>
      <c r="I275" s="48">
        <v>5</v>
      </c>
      <c r="J275" s="48">
        <v>4.66</v>
      </c>
      <c r="K275" s="48">
        <v>2.38</v>
      </c>
      <c r="L275" s="47"/>
      <c r="M275" s="49">
        <v>47.04</v>
      </c>
      <c r="N275" t="str">
        <f>+VLOOKUP(D275,'DISPOSITIVOS ACTIVOS'!B:D,3,FALSE)</f>
        <v>Iphone</v>
      </c>
      <c r="O275" t="str">
        <f>+VLOOKUP(D275,'DISPOSITIVOS ACTIVOS'!B:G,6,FALSE)</f>
        <v>LOPEZ, YESENIA</v>
      </c>
      <c r="P275" t="str">
        <f>+VLOOKUP(D275,'DISPOSITIVOS ACTIVOS'!$B$1:$H$299,7,FALSE)</f>
        <v>SALES WEST</v>
      </c>
      <c r="Q275" t="str">
        <f>IFERROR(+VLOOKUP(D275,'[1]Migracion feb25 Ver to ATT'!$B:$B,1,FALSE), "NO")</f>
        <v>NO</v>
      </c>
      <c r="R275" s="26">
        <f t="shared" si="9"/>
        <v>25</v>
      </c>
    </row>
    <row r="276" spans="1:19" x14ac:dyDescent="0.3">
      <c r="A276" s="46" t="s">
        <v>22</v>
      </c>
      <c r="B276">
        <v>25</v>
      </c>
      <c r="C276">
        <v>5</v>
      </c>
      <c r="D276" s="37" t="s">
        <v>73</v>
      </c>
      <c r="E276" t="str">
        <f>+VLOOKUP(D276,'DISPOSITIVOS ACTIVOS'!$B:$G,6,FALSE)</f>
        <v>CAICEDO, VICTOR M</v>
      </c>
      <c r="F276" s="50">
        <v>25</v>
      </c>
      <c r="G276" s="50" t="s">
        <v>30</v>
      </c>
      <c r="H276" s="51">
        <v>35</v>
      </c>
      <c r="I276" s="50" t="s">
        <v>30</v>
      </c>
      <c r="J276" s="51">
        <v>4.66</v>
      </c>
      <c r="K276" s="51">
        <v>2.38</v>
      </c>
      <c r="L276" s="50"/>
      <c r="M276" s="52">
        <v>42.04</v>
      </c>
      <c r="N276" t="str">
        <f>+VLOOKUP(D276,'DISPOSITIVOS ACTIVOS'!B:D,3,FALSE)</f>
        <v>Iphone</v>
      </c>
      <c r="O276" t="str">
        <f>+VLOOKUP(D276,'DISPOSITIVOS ACTIVOS'!B:G,6,FALSE)</f>
        <v>CAICEDO, VICTOR M</v>
      </c>
      <c r="P276" t="str">
        <f>+VLOOKUP(D276,'DISPOSITIVOS ACTIVOS'!$B$1:$H$299,7,FALSE)</f>
        <v>SALES WEST</v>
      </c>
      <c r="Q276" t="str">
        <f>IFERROR(+VLOOKUP(D276,'[1]Migracion feb25 Ver to ATT'!$B:$B,1,FALSE), "NO")</f>
        <v>314-580-3315</v>
      </c>
      <c r="R276" s="26">
        <f t="shared" si="9"/>
        <v>15</v>
      </c>
    </row>
    <row r="277" spans="1:19" x14ac:dyDescent="0.3">
      <c r="A277" s="46" t="s">
        <v>22</v>
      </c>
      <c r="B277">
        <v>25</v>
      </c>
      <c r="C277">
        <v>5</v>
      </c>
      <c r="D277" s="36" t="s">
        <v>75</v>
      </c>
      <c r="E277" t="str">
        <f>+VLOOKUP(D277,'DISPOSITIVOS ACTIVOS'!$B:$G,6,FALSE)</f>
        <v>SORIANO, NAYELY</v>
      </c>
      <c r="F277" s="47">
        <v>27</v>
      </c>
      <c r="G277" s="47" t="s">
        <v>30</v>
      </c>
      <c r="H277" s="48">
        <v>35</v>
      </c>
      <c r="I277" s="47" t="s">
        <v>30</v>
      </c>
      <c r="J277" s="48">
        <v>4.66</v>
      </c>
      <c r="K277" s="48">
        <v>2.38</v>
      </c>
      <c r="L277" s="47"/>
      <c r="M277" s="49">
        <v>42.04</v>
      </c>
      <c r="N277" t="str">
        <f>+VLOOKUP(D277,'DISPOSITIVOS ACTIVOS'!B:D,3,FALSE)</f>
        <v>Iphone</v>
      </c>
      <c r="O277" t="str">
        <f>+VLOOKUP(D277,'DISPOSITIVOS ACTIVOS'!B:G,6,FALSE)</f>
        <v>SORIANO, NAYELY</v>
      </c>
      <c r="P277" t="str">
        <f>+VLOOKUP(D277,'DISPOSITIVOS ACTIVOS'!$B$1:$H$299,7,FALSE)</f>
        <v>SALES NORTH</v>
      </c>
      <c r="Q277" t="str">
        <f>IFERROR(+VLOOKUP(D277,'[1]Migracion feb25 Ver to ATT'!$B:$B,1,FALSE), "NO")</f>
        <v>317-500-7156</v>
      </c>
      <c r="R277" s="26">
        <f t="shared" si="9"/>
        <v>15</v>
      </c>
    </row>
    <row r="278" spans="1:19" x14ac:dyDescent="0.3">
      <c r="A278" s="46" t="s">
        <v>22</v>
      </c>
      <c r="B278">
        <v>25</v>
      </c>
      <c r="C278">
        <v>5</v>
      </c>
      <c r="D278" s="37" t="s">
        <v>77</v>
      </c>
      <c r="E278" t="str">
        <f>+VLOOKUP(D278,'DISPOSITIVOS ACTIVOS'!$B:$G,6,FALSE)</f>
        <v>CORADO, JUAN CARLOS</v>
      </c>
      <c r="F278" s="50">
        <v>29</v>
      </c>
      <c r="G278" s="50" t="s">
        <v>30</v>
      </c>
      <c r="H278" s="51">
        <v>35</v>
      </c>
      <c r="I278" s="50" t="s">
        <v>30</v>
      </c>
      <c r="J278" s="51">
        <v>4.66</v>
      </c>
      <c r="K278" s="51">
        <v>2.38</v>
      </c>
      <c r="L278" s="50"/>
      <c r="M278" s="52">
        <v>42.04</v>
      </c>
      <c r="N278" t="str">
        <f>+VLOOKUP(D278,'DISPOSITIVOS ACTIVOS'!B:D,3,FALSE)</f>
        <v>Iphone</v>
      </c>
      <c r="O278" t="str">
        <f>+VLOOKUP(D278,'DISPOSITIVOS ACTIVOS'!B:G,6,FALSE)</f>
        <v>CORADO, JUAN CARLOS</v>
      </c>
      <c r="P278" t="str">
        <f>+VLOOKUP(D278,'DISPOSITIVOS ACTIVOS'!$B$1:$H$299,7,FALSE)</f>
        <v>SALES SOUTH</v>
      </c>
      <c r="Q278" t="str">
        <f>IFERROR(+VLOOKUP(D278,'[1]Migracion feb25 Ver to ATT'!$B:$B,1,FALSE), "NO")</f>
        <v>423-321-4014</v>
      </c>
      <c r="R278" s="26">
        <f t="shared" si="9"/>
        <v>15</v>
      </c>
    </row>
    <row r="279" spans="1:19" x14ac:dyDescent="0.3">
      <c r="A279" s="46" t="s">
        <v>22</v>
      </c>
      <c r="B279">
        <v>25</v>
      </c>
      <c r="C279">
        <v>5</v>
      </c>
      <c r="D279" s="36" t="s">
        <v>79</v>
      </c>
      <c r="E279" t="str">
        <f>+VLOOKUP(D279,'DISPOSITIVOS ACTIVOS'!$B:$G,6,FALSE)</f>
        <v>SHINE, EDILIA D</v>
      </c>
      <c r="F279" s="47">
        <v>31</v>
      </c>
      <c r="G279" s="47" t="s">
        <v>30</v>
      </c>
      <c r="H279" s="48">
        <v>35</v>
      </c>
      <c r="I279" s="47" t="s">
        <v>30</v>
      </c>
      <c r="J279" s="48">
        <v>4.66</v>
      </c>
      <c r="K279" s="48">
        <v>2.38</v>
      </c>
      <c r="L279" s="47"/>
      <c r="M279" s="49">
        <v>42.04</v>
      </c>
      <c r="N279" t="str">
        <f>+VLOOKUP(D279,'DISPOSITIVOS ACTIVOS'!B:D,3,FALSE)</f>
        <v>Iphone</v>
      </c>
      <c r="O279" t="str">
        <f>+VLOOKUP(D279,'DISPOSITIVOS ACTIVOS'!B:G,6,FALSE)</f>
        <v>SHINE, EDILIA D</v>
      </c>
      <c r="P279" t="str">
        <f>+VLOOKUP(D279,'DISPOSITIVOS ACTIVOS'!$B$1:$H$299,7,FALSE)</f>
        <v>SALES NORTH</v>
      </c>
      <c r="Q279" t="str">
        <f>IFERROR(+VLOOKUP(D279,'[1]Migracion feb25 Ver to ATT'!$B:$B,1,FALSE), "NO")</f>
        <v>NO</v>
      </c>
      <c r="R279" s="26">
        <f t="shared" si="9"/>
        <v>25</v>
      </c>
    </row>
    <row r="280" spans="1:19" x14ac:dyDescent="0.3">
      <c r="A280" s="46" t="s">
        <v>22</v>
      </c>
      <c r="B280">
        <v>25</v>
      </c>
      <c r="C280">
        <v>5</v>
      </c>
      <c r="D280" s="37" t="s">
        <v>81</v>
      </c>
      <c r="E280" t="e">
        <f>+VLOOKUP(D280,'DISPOSITIVOS ACTIVOS'!$B:$G,6,FALSE)</f>
        <v>#N/A</v>
      </c>
      <c r="F280" s="50">
        <v>33</v>
      </c>
      <c r="G280" s="50" t="s">
        <v>30</v>
      </c>
      <c r="H280" s="50" t="s">
        <v>30</v>
      </c>
      <c r="I280" s="51">
        <v>5.99</v>
      </c>
      <c r="J280" s="50" t="s">
        <v>30</v>
      </c>
      <c r="K280" s="50" t="s">
        <v>30</v>
      </c>
      <c r="L280" s="50"/>
      <c r="M280" s="52">
        <v>5.99</v>
      </c>
      <c r="N280" t="e">
        <f>+VLOOKUP(D280,'DISPOSITIVOS ACTIVOS'!B:D,3,FALSE)</f>
        <v>#N/A</v>
      </c>
      <c r="O280" t="e">
        <f>+VLOOKUP(D280,'DISPOSITIVOS ACTIVOS'!B:G,6,FALSE)</f>
        <v>#N/A</v>
      </c>
      <c r="P280" t="e">
        <f>+VLOOKUP(D280,'DISPOSITIVOS ACTIVOS'!$B$1:$H$299,7,FALSE)</f>
        <v>#N/A</v>
      </c>
      <c r="Q280" t="str">
        <f>IFERROR(+VLOOKUP(D280,'[1]Migracion feb25 Ver to ATT'!$B:$B,1,FALSE), "NO")</f>
        <v>NO</v>
      </c>
      <c r="R280" s="26">
        <f t="shared" si="9"/>
        <v>25</v>
      </c>
    </row>
    <row r="281" spans="1:19" x14ac:dyDescent="0.3">
      <c r="A281" s="46" t="s">
        <v>22</v>
      </c>
      <c r="B281">
        <v>25</v>
      </c>
      <c r="C281">
        <v>5</v>
      </c>
      <c r="D281" s="36" t="s">
        <v>83</v>
      </c>
      <c r="E281" t="e">
        <f>+VLOOKUP(D281,'DISPOSITIVOS ACTIVOS'!$B:$G,6,FALSE)</f>
        <v>#N/A</v>
      </c>
      <c r="F281" s="47">
        <v>35</v>
      </c>
      <c r="G281" s="47" t="s">
        <v>30</v>
      </c>
      <c r="H281" s="47" t="s">
        <v>30</v>
      </c>
      <c r="I281" s="47" t="s">
        <v>30</v>
      </c>
      <c r="J281" s="47" t="s">
        <v>30</v>
      </c>
      <c r="K281" s="47" t="s">
        <v>30</v>
      </c>
      <c r="L281" s="47"/>
      <c r="M281" s="49">
        <v>0</v>
      </c>
      <c r="N281" t="e">
        <f>+VLOOKUP(D281,'DISPOSITIVOS ACTIVOS'!B:D,3,FALSE)</f>
        <v>#N/A</v>
      </c>
      <c r="O281" t="e">
        <f>+VLOOKUP(D281,'DISPOSITIVOS ACTIVOS'!B:G,6,FALSE)</f>
        <v>#N/A</v>
      </c>
      <c r="P281" t="e">
        <f>+VLOOKUP(D281,'DISPOSITIVOS ACTIVOS'!$B$1:$H$299,7,FALSE)</f>
        <v>#N/A</v>
      </c>
      <c r="Q281" t="str">
        <f>IFERROR(+VLOOKUP(D281,'[1]Migracion feb25 Ver to ATT'!$B:$B,1,FALSE), "NO")</f>
        <v>NO</v>
      </c>
      <c r="R281" s="26">
        <f t="shared" si="9"/>
        <v>25</v>
      </c>
    </row>
    <row r="282" spans="1:19" x14ac:dyDescent="0.3">
      <c r="A282" s="46" t="s">
        <v>22</v>
      </c>
      <c r="B282">
        <v>25</v>
      </c>
      <c r="C282">
        <v>5</v>
      </c>
      <c r="D282" s="37" t="s">
        <v>85</v>
      </c>
      <c r="E282" t="str">
        <f>+VLOOKUP(D282,'DISPOSITIVOS ACTIVOS'!$B:$G,6,FALSE)</f>
        <v>DANIEL GARCIA</v>
      </c>
      <c r="F282" s="50">
        <v>37</v>
      </c>
      <c r="G282" s="50" t="s">
        <v>30</v>
      </c>
      <c r="H282" s="51">
        <v>35</v>
      </c>
      <c r="I282" s="50" t="s">
        <v>30</v>
      </c>
      <c r="J282" s="51">
        <v>4.66</v>
      </c>
      <c r="K282" s="51">
        <v>2.2400000000000002</v>
      </c>
      <c r="L282" s="50"/>
      <c r="M282" s="52">
        <v>41.9</v>
      </c>
      <c r="N282" t="str">
        <f>+VLOOKUP(D282,'DISPOSITIVOS ACTIVOS'!B:D,3,FALSE)</f>
        <v>no aplica</v>
      </c>
      <c r="O282" t="str">
        <f>+VLOOKUP(D282,'DISPOSITIVOS ACTIVOS'!B:G,6,FALSE)</f>
        <v>DANIEL GARCIA</v>
      </c>
      <c r="P282" t="str">
        <f>+VLOOKUP(D282,'DISPOSITIVOS ACTIVOS'!$B$1:$H$299,7,FALSE)</f>
        <v>ATLANTA</v>
      </c>
      <c r="Q282" t="str">
        <f>IFERROR(+VLOOKUP(D282,'[1]Migracion feb25 Ver to ATT'!$B:$B,1,FALSE), "NO")</f>
        <v>NO</v>
      </c>
      <c r="R282" s="26">
        <f t="shared" si="9"/>
        <v>25</v>
      </c>
    </row>
    <row r="283" spans="1:19" x14ac:dyDescent="0.3">
      <c r="A283" s="46" t="s">
        <v>22</v>
      </c>
      <c r="B283">
        <v>25</v>
      </c>
      <c r="C283">
        <v>5</v>
      </c>
      <c r="D283" s="36" t="s">
        <v>87</v>
      </c>
      <c r="E283" t="str">
        <f>+VLOOKUP(D283,'DISPOSITIVOS ACTIVOS'!$B:$G,6,FALSE)</f>
        <v>OSCAR BARRAGAN</v>
      </c>
      <c r="F283" s="47">
        <v>39</v>
      </c>
      <c r="G283" s="47" t="s">
        <v>30</v>
      </c>
      <c r="H283" s="48">
        <v>35</v>
      </c>
      <c r="I283" s="47" t="s">
        <v>30</v>
      </c>
      <c r="J283" s="48">
        <v>4.66</v>
      </c>
      <c r="K283" s="48">
        <v>2.2400000000000002</v>
      </c>
      <c r="L283" s="47"/>
      <c r="M283" s="49">
        <v>41.9</v>
      </c>
      <c r="N283" t="str">
        <f>+VLOOKUP(D283,'DISPOSITIVOS ACTIVOS'!B:D,3,FALSE)</f>
        <v>no aplica</v>
      </c>
      <c r="O283" t="str">
        <f>+VLOOKUP(D283,'DISPOSITIVOS ACTIVOS'!B:G,6,FALSE)</f>
        <v>OSCAR BARRAGAN</v>
      </c>
      <c r="P283" t="str">
        <f>+VLOOKUP(D283,'DISPOSITIVOS ACTIVOS'!$B$1:$H$299,7,FALSE)</f>
        <v>ATLANTA</v>
      </c>
      <c r="Q283" t="str">
        <f>IFERROR(+VLOOKUP(D283,'[1]Migracion feb25 Ver to ATT'!$B:$B,1,FALSE), "NO")</f>
        <v>NO</v>
      </c>
      <c r="R283" s="26">
        <f t="shared" si="9"/>
        <v>25</v>
      </c>
    </row>
    <row r="284" spans="1:19" x14ac:dyDescent="0.3">
      <c r="A284" s="46" t="s">
        <v>22</v>
      </c>
      <c r="B284">
        <v>25</v>
      </c>
      <c r="C284">
        <v>5</v>
      </c>
      <c r="D284" s="37" t="s">
        <v>89</v>
      </c>
      <c r="E284" t="e">
        <f>+VLOOKUP(D284,'DISPOSITIVOS ACTIVOS'!$B:$G,6,FALSE)</f>
        <v>#N/A</v>
      </c>
      <c r="F284" s="50">
        <v>41</v>
      </c>
      <c r="G284" s="50" t="s">
        <v>30</v>
      </c>
      <c r="H284" s="50" t="s">
        <v>30</v>
      </c>
      <c r="I284" s="50" t="s">
        <v>30</v>
      </c>
      <c r="J284" s="50" t="s">
        <v>30</v>
      </c>
      <c r="K284" s="50" t="s">
        <v>30</v>
      </c>
      <c r="L284" s="50"/>
      <c r="M284" s="52">
        <v>0</v>
      </c>
      <c r="N284" t="e">
        <f>+VLOOKUP(D284,'DISPOSITIVOS ACTIVOS'!B:D,3,FALSE)</f>
        <v>#N/A</v>
      </c>
      <c r="O284" t="e">
        <f>+VLOOKUP(D284,'DISPOSITIVOS ACTIVOS'!B:G,6,FALSE)</f>
        <v>#N/A</v>
      </c>
      <c r="P284" t="e">
        <f>+VLOOKUP(D284,'DISPOSITIVOS ACTIVOS'!$B$1:$H$299,7,FALSE)</f>
        <v>#N/A</v>
      </c>
      <c r="Q284" t="str">
        <f>IFERROR(+VLOOKUP(D284,'[1]Migracion feb25 Ver to ATT'!$B:$B,1,FALSE), "NO")</f>
        <v>NO</v>
      </c>
      <c r="R284" s="26">
        <f t="shared" si="9"/>
        <v>25</v>
      </c>
    </row>
    <row r="285" spans="1:19" x14ac:dyDescent="0.3">
      <c r="A285" s="46" t="s">
        <v>22</v>
      </c>
      <c r="B285">
        <v>25</v>
      </c>
      <c r="C285">
        <v>5</v>
      </c>
      <c r="D285" s="36" t="s">
        <v>91</v>
      </c>
      <c r="E285" t="str">
        <f>+VLOOKUP(D285,'DISPOSITIVOS ACTIVOS'!$B:$G,6,FALSE)</f>
        <v>VILLAVICENCIO, ARTURO J</v>
      </c>
      <c r="F285" s="47">
        <v>43</v>
      </c>
      <c r="G285" s="47" t="s">
        <v>30</v>
      </c>
      <c r="H285" s="48">
        <v>15</v>
      </c>
      <c r="I285" s="47" t="s">
        <v>30</v>
      </c>
      <c r="J285" s="48">
        <v>3.75</v>
      </c>
      <c r="K285" s="47" t="s">
        <v>30</v>
      </c>
      <c r="L285" s="47"/>
      <c r="M285" s="49">
        <v>18.75</v>
      </c>
      <c r="N285" t="str">
        <f>+VLOOKUP(D285,'DISPOSITIVOS ACTIVOS'!B:D,3,FALSE)</f>
        <v>Ipad</v>
      </c>
      <c r="O285" t="str">
        <f>+VLOOKUP(D285,'DISPOSITIVOS ACTIVOS'!B:G,6,FALSE)</f>
        <v>VILLAVICENCIO, ARTURO J</v>
      </c>
      <c r="P285" t="str">
        <f>+VLOOKUP(D285,'DISPOSITIVOS ACTIVOS'!$B$1:$H$299,7,FALSE)</f>
        <v>SALES WEST</v>
      </c>
      <c r="Q285" t="str">
        <f>IFERROR(+VLOOKUP(D285,'[1]Migracion feb25 Ver to ATT'!$B:$B,1,FALSE), "NO")</f>
        <v>NO</v>
      </c>
      <c r="R285" s="26">
        <f t="shared" si="9"/>
        <v>25</v>
      </c>
    </row>
    <row r="286" spans="1:19" x14ac:dyDescent="0.3">
      <c r="A286" s="46" t="s">
        <v>22</v>
      </c>
      <c r="B286">
        <v>25</v>
      </c>
      <c r="C286">
        <v>5</v>
      </c>
      <c r="D286" s="37" t="s">
        <v>93</v>
      </c>
      <c r="E286" t="str">
        <f>+VLOOKUP(D286,'DISPOSITIVOS ACTIVOS'!$B:$G,6,FALSE)</f>
        <v>VILLAVICENCIO, ARTURO J</v>
      </c>
      <c r="F286" s="50">
        <v>45</v>
      </c>
      <c r="G286" s="50" t="s">
        <v>30</v>
      </c>
      <c r="H286" s="51">
        <v>35</v>
      </c>
      <c r="I286" s="50" t="s">
        <v>30</v>
      </c>
      <c r="J286" s="51">
        <v>4.66</v>
      </c>
      <c r="K286" s="51">
        <v>2.38</v>
      </c>
      <c r="L286" s="50"/>
      <c r="M286" s="52">
        <v>42.04</v>
      </c>
      <c r="N286" t="str">
        <f>+VLOOKUP(D286,'DISPOSITIVOS ACTIVOS'!B:D,3,FALSE)</f>
        <v>Iphone</v>
      </c>
      <c r="O286" t="str">
        <f>+VLOOKUP(D286,'DISPOSITIVOS ACTIVOS'!B:G,6,FALSE)</f>
        <v>VILLAVICENCIO, ARTURO J</v>
      </c>
      <c r="P286" t="str">
        <f>+VLOOKUP(D286,'DISPOSITIVOS ACTIVOS'!$B$1:$H$299,7,FALSE)</f>
        <v>SALES WEST</v>
      </c>
      <c r="Q286" t="str">
        <f>IFERROR(+VLOOKUP(D286,'[1]Migracion feb25 Ver to ATT'!$B:$B,1,FALSE), "NO")</f>
        <v>501-773-3763</v>
      </c>
      <c r="R286" s="26">
        <f t="shared" si="9"/>
        <v>15</v>
      </c>
    </row>
    <row r="287" spans="1:19" x14ac:dyDescent="0.3">
      <c r="A287" s="46" t="s">
        <v>22</v>
      </c>
      <c r="B287">
        <v>25</v>
      </c>
      <c r="C287">
        <v>5</v>
      </c>
      <c r="D287" s="58" t="s">
        <v>95</v>
      </c>
      <c r="E287" s="4" t="str">
        <f>+VLOOKUP(D287,'DISPOSITIVOS ACTIVOS'!$B:$G,6,FALSE)</f>
        <v xml:space="preserve">Backup  </v>
      </c>
      <c r="F287" s="47">
        <v>47</v>
      </c>
      <c r="G287" s="47" t="s">
        <v>30</v>
      </c>
      <c r="H287" s="48">
        <v>35</v>
      </c>
      <c r="I287" s="47" t="s">
        <v>30</v>
      </c>
      <c r="J287" s="48">
        <v>4.66</v>
      </c>
      <c r="K287" s="48">
        <v>2.38</v>
      </c>
      <c r="L287" s="47"/>
      <c r="M287" s="49">
        <v>42.04</v>
      </c>
      <c r="N287">
        <f>+VLOOKUP(D287,'DISPOSITIVOS ACTIVOS'!B:D,3,FALSE)</f>
        <v>0</v>
      </c>
      <c r="O287" t="str">
        <f>+VLOOKUP(D287,'DISPOSITIVOS ACTIVOS'!B:G,6,FALSE)</f>
        <v xml:space="preserve">Backup  </v>
      </c>
      <c r="P287" t="str">
        <f>+VLOOKUP(D287,'DISPOSITIVOS ACTIVOS'!$B$1:$H$299,7,FALSE)</f>
        <v>SALES CENTRAL</v>
      </c>
      <c r="Q287" t="str">
        <f>IFERROR(+VLOOKUP(D287,'[1]Migracion feb25 Ver to ATT'!$B:$B,1,FALSE), "NO")</f>
        <v>502-341-1558</v>
      </c>
      <c r="R287" s="26">
        <f t="shared" si="9"/>
        <v>15</v>
      </c>
      <c r="S287" t="s">
        <v>877</v>
      </c>
    </row>
    <row r="288" spans="1:19" x14ac:dyDescent="0.3">
      <c r="A288" s="46" t="s">
        <v>22</v>
      </c>
      <c r="B288">
        <v>25</v>
      </c>
      <c r="C288">
        <v>5</v>
      </c>
      <c r="D288" s="37" t="s">
        <v>97</v>
      </c>
      <c r="E288" t="str">
        <f>+VLOOKUP(D288,'DISPOSITIVOS ACTIVOS'!$B:$G,6,FALSE)</f>
        <v>MOJICA, FRANCISCO JAVIER</v>
      </c>
      <c r="F288" s="50">
        <v>49</v>
      </c>
      <c r="G288" s="50" t="s">
        <v>30</v>
      </c>
      <c r="H288" s="51">
        <v>25</v>
      </c>
      <c r="I288" s="50" t="s">
        <v>30</v>
      </c>
      <c r="J288" s="51">
        <v>4.53</v>
      </c>
      <c r="K288" s="51">
        <v>4.2699999999999996</v>
      </c>
      <c r="L288" s="50"/>
      <c r="M288" s="52">
        <v>33.799999999999997</v>
      </c>
      <c r="N288" t="str">
        <f>+VLOOKUP(D288,'DISPOSITIVOS ACTIVOS'!B:D,3,FALSE)</f>
        <v xml:space="preserve">Galaxy </v>
      </c>
      <c r="O288" t="str">
        <f>+VLOOKUP(D288,'DISPOSITIVOS ACTIVOS'!B:G,6,FALSE)</f>
        <v>MOJICA, FRANCISCO JAVIER</v>
      </c>
      <c r="P288" t="str">
        <f>+VLOOKUP(D288,'DISPOSITIVOS ACTIVOS'!$B$1:$H$299,7,FALSE)</f>
        <v>LOGISTICS CENTRAL</v>
      </c>
      <c r="Q288" t="str">
        <f>IFERROR(+VLOOKUP(D288,'[1]Migracion feb25 Ver to ATT'!$B:$B,1,FALSE), "NO")</f>
        <v>502-558-5770</v>
      </c>
      <c r="R288" s="26">
        <f t="shared" si="9"/>
        <v>15</v>
      </c>
    </row>
    <row r="289" spans="1:18" x14ac:dyDescent="0.3">
      <c r="A289" s="46" t="s">
        <v>22</v>
      </c>
      <c r="B289">
        <v>25</v>
      </c>
      <c r="C289">
        <v>5</v>
      </c>
      <c r="D289" s="36" t="s">
        <v>99</v>
      </c>
      <c r="E289" t="str">
        <f>+VLOOKUP(D289,'DISPOSITIVOS ACTIVOS'!$B:$G,6,FALSE)</f>
        <v>ARMES, CLAUDIA</v>
      </c>
      <c r="F289" s="47">
        <v>51</v>
      </c>
      <c r="G289" s="47" t="s">
        <v>30</v>
      </c>
      <c r="H289" s="48">
        <v>35</v>
      </c>
      <c r="I289" s="47" t="s">
        <v>30</v>
      </c>
      <c r="J289" s="48">
        <v>4.66</v>
      </c>
      <c r="K289" s="48">
        <v>2.38</v>
      </c>
      <c r="L289" s="47"/>
      <c r="M289" s="49">
        <v>42.04</v>
      </c>
      <c r="N289" t="str">
        <f>+VLOOKUP(D289,'DISPOSITIVOS ACTIVOS'!B:D,3,FALSE)</f>
        <v>Iphone</v>
      </c>
      <c r="O289" t="str">
        <f>+VLOOKUP(D289,'DISPOSITIVOS ACTIVOS'!B:G,6,FALSE)</f>
        <v>ARMES, CLAUDIA</v>
      </c>
      <c r="P289" t="str">
        <f>+VLOOKUP(D289,'DISPOSITIVOS ACTIVOS'!$B$1:$H$299,7,FALSE)</f>
        <v>SALES NORTH</v>
      </c>
      <c r="Q289" t="str">
        <f>IFERROR(+VLOOKUP(D289,'[1]Migracion feb25 Ver to ATT'!$B:$B,1,FALSE), "NO")</f>
        <v>502-974-3915</v>
      </c>
      <c r="R289" s="26">
        <f t="shared" si="9"/>
        <v>15</v>
      </c>
    </row>
    <row r="290" spans="1:18" x14ac:dyDescent="0.3">
      <c r="A290" s="46" t="s">
        <v>22</v>
      </c>
      <c r="B290">
        <v>25</v>
      </c>
      <c r="C290">
        <v>5</v>
      </c>
      <c r="D290" s="37" t="s">
        <v>101</v>
      </c>
      <c r="E290" t="str">
        <f>+VLOOKUP(D290,'DISPOSITIVOS ACTIVOS'!$B:$G,6,FALSE)</f>
        <v>CORDERO, IRIS</v>
      </c>
      <c r="F290" s="50">
        <v>53</v>
      </c>
      <c r="G290" s="50" t="s">
        <v>30</v>
      </c>
      <c r="H290" s="51">
        <v>35</v>
      </c>
      <c r="I290" s="50" t="s">
        <v>30</v>
      </c>
      <c r="J290" s="51">
        <v>4.66</v>
      </c>
      <c r="K290" s="51">
        <v>2.38</v>
      </c>
      <c r="L290" s="50"/>
      <c r="M290" s="52">
        <v>42.04</v>
      </c>
      <c r="N290" t="str">
        <f>+VLOOKUP(D290,'DISPOSITIVOS ACTIVOS'!B:D,3,FALSE)</f>
        <v>Iphone</v>
      </c>
      <c r="O290" t="str">
        <f>+VLOOKUP(D290,'DISPOSITIVOS ACTIVOS'!B:G,6,FALSE)</f>
        <v>CORDERO, IRIS</v>
      </c>
      <c r="P290" t="str">
        <f>+VLOOKUP(D290,'DISPOSITIVOS ACTIVOS'!$B$1:$H$299,7,FALSE)</f>
        <v>SALES NORTH</v>
      </c>
      <c r="Q290" t="str">
        <f>IFERROR(+VLOOKUP(D290,'[1]Migracion feb25 Ver to ATT'!$B:$B,1,FALSE), "NO")</f>
        <v>513-675-0865</v>
      </c>
      <c r="R290" s="26">
        <f t="shared" si="9"/>
        <v>15</v>
      </c>
    </row>
    <row r="291" spans="1:18" x14ac:dyDescent="0.3">
      <c r="A291" s="46" t="s">
        <v>22</v>
      </c>
      <c r="B291">
        <v>25</v>
      </c>
      <c r="C291">
        <v>5</v>
      </c>
      <c r="D291" s="36" t="s">
        <v>103</v>
      </c>
      <c r="E291" t="str">
        <f>+VLOOKUP(D291,'DISPOSITIVOS ACTIVOS'!$B:$G,6,FALSE)</f>
        <v>ALVAREZ PALOMARES M, PAULA MAYREN</v>
      </c>
      <c r="F291" s="47">
        <v>55</v>
      </c>
      <c r="G291" s="47" t="s">
        <v>30</v>
      </c>
      <c r="H291" s="48">
        <v>35</v>
      </c>
      <c r="I291" s="48">
        <v>5</v>
      </c>
      <c r="J291" s="48">
        <v>4.75</v>
      </c>
      <c r="K291" s="48">
        <v>1.1100000000000001</v>
      </c>
      <c r="L291" s="47"/>
      <c r="M291" s="49">
        <v>45.86</v>
      </c>
      <c r="N291" t="str">
        <f>+VLOOKUP(D291,'DISPOSITIVOS ACTIVOS'!B:D,3,FALSE)</f>
        <v>Iphone</v>
      </c>
      <c r="O291" t="str">
        <f>+VLOOKUP(D291,'DISPOSITIVOS ACTIVOS'!B:G,6,FALSE)</f>
        <v>ALVAREZ PALOMARES M, PAULA MAYREN</v>
      </c>
      <c r="P291" t="str">
        <f>+VLOOKUP(D291,'DISPOSITIVOS ACTIVOS'!$B$1:$H$299,7,FALSE)</f>
        <v>MERCHANDISER NORTH</v>
      </c>
      <c r="Q291" t="str">
        <f>IFERROR(+VLOOKUP(D291,'[1]Migracion feb25 Ver to ATT'!$B:$B,1,FALSE), "NO")</f>
        <v>NO</v>
      </c>
      <c r="R291" s="26">
        <f t="shared" si="9"/>
        <v>25</v>
      </c>
    </row>
    <row r="292" spans="1:18" x14ac:dyDescent="0.3">
      <c r="A292" s="46" t="s">
        <v>22</v>
      </c>
      <c r="B292">
        <v>25</v>
      </c>
      <c r="C292">
        <v>5</v>
      </c>
      <c r="D292" s="37" t="s">
        <v>105</v>
      </c>
      <c r="E292" t="str">
        <f>+VLOOKUP(D292,'DISPOSITIVOS ACTIVOS'!$B:$G,6,FALSE)</f>
        <v>LACRUZ, ROSMARY</v>
      </c>
      <c r="F292" s="50">
        <v>57</v>
      </c>
      <c r="G292" s="50" t="s">
        <v>30</v>
      </c>
      <c r="H292" s="51">
        <v>35</v>
      </c>
      <c r="I292" s="50" t="s">
        <v>30</v>
      </c>
      <c r="J292" s="51">
        <v>4.66</v>
      </c>
      <c r="K292" s="51">
        <v>2.38</v>
      </c>
      <c r="L292" s="50"/>
      <c r="M292" s="52">
        <v>42.04</v>
      </c>
      <c r="N292" t="str">
        <f>+VLOOKUP(D292,'DISPOSITIVOS ACTIVOS'!B:D,3,FALSE)</f>
        <v>Iphone</v>
      </c>
      <c r="O292" t="str">
        <f>+VLOOKUP(D292,'DISPOSITIVOS ACTIVOS'!B:G,6,FALSE)</f>
        <v>LACRUZ, ROSMARY</v>
      </c>
      <c r="P292" t="str">
        <f>+VLOOKUP(D292,'DISPOSITIVOS ACTIVOS'!$B$1:$H$299,7,FALSE)</f>
        <v>SALES WEST</v>
      </c>
      <c r="Q292" t="str">
        <f>IFERROR(+VLOOKUP(D292,'[1]Migracion feb25 Ver to ATT'!$B:$B,1,FALSE), "NO")</f>
        <v>601-910-8492</v>
      </c>
      <c r="R292" s="26">
        <f t="shared" si="9"/>
        <v>15</v>
      </c>
    </row>
    <row r="293" spans="1:18" x14ac:dyDescent="0.3">
      <c r="A293" s="46" t="s">
        <v>22</v>
      </c>
      <c r="B293">
        <v>25</v>
      </c>
      <c r="C293">
        <v>5</v>
      </c>
      <c r="D293" s="36" t="s">
        <v>107</v>
      </c>
      <c r="E293" t="str">
        <f>+VLOOKUP(D293,'DISPOSITIVOS ACTIVOS'!$B:$G,6,FALSE)</f>
        <v>CABRERA, OSMAN A</v>
      </c>
      <c r="F293" s="47">
        <v>59</v>
      </c>
      <c r="G293" s="47" t="s">
        <v>30</v>
      </c>
      <c r="H293" s="48">
        <v>35</v>
      </c>
      <c r="I293" s="47" t="s">
        <v>30</v>
      </c>
      <c r="J293" s="48">
        <v>4.66</v>
      </c>
      <c r="K293" s="48">
        <v>2.38</v>
      </c>
      <c r="L293" s="47"/>
      <c r="M293" s="49">
        <v>42.04</v>
      </c>
      <c r="N293" t="str">
        <f>+VLOOKUP(D293,'DISPOSITIVOS ACTIVOS'!B:D,3,FALSE)</f>
        <v>Iphone</v>
      </c>
      <c r="O293" t="str">
        <f>+VLOOKUP(D293,'DISPOSITIVOS ACTIVOS'!B:G,6,FALSE)</f>
        <v>CABRERA, OSMAN A</v>
      </c>
      <c r="P293" t="str">
        <f>+VLOOKUP(D293,'DISPOSITIVOS ACTIVOS'!$B$1:$H$299,7,FALSE)</f>
        <v>SALES CENTRAL</v>
      </c>
      <c r="Q293" t="str">
        <f>IFERROR(+VLOOKUP(D293,'[1]Migracion feb25 Ver to ATT'!$B:$B,1,FALSE), "NO")</f>
        <v>615-207-2464</v>
      </c>
      <c r="R293" s="26">
        <f t="shared" si="9"/>
        <v>15</v>
      </c>
    </row>
    <row r="294" spans="1:18" x14ac:dyDescent="0.3">
      <c r="A294" s="46" t="s">
        <v>22</v>
      </c>
      <c r="B294">
        <v>25</v>
      </c>
      <c r="C294">
        <v>5</v>
      </c>
      <c r="D294" s="37" t="s">
        <v>109</v>
      </c>
      <c r="E294" t="str">
        <f>+VLOOKUP(D294,'DISPOSITIVOS ACTIVOS'!$B:$G,6,FALSE)</f>
        <v>DE LOS SANTOS, LUIS</v>
      </c>
      <c r="F294" s="50">
        <v>61</v>
      </c>
      <c r="G294" s="50" t="s">
        <v>30</v>
      </c>
      <c r="H294" s="51">
        <v>25</v>
      </c>
      <c r="I294" s="50" t="s">
        <v>30</v>
      </c>
      <c r="J294" s="51">
        <v>4.53</v>
      </c>
      <c r="K294" s="51">
        <v>4.2699999999999996</v>
      </c>
      <c r="L294" s="50"/>
      <c r="M294" s="52">
        <v>33.799999999999997</v>
      </c>
      <c r="N294" t="str">
        <f>+VLOOKUP(D294,'DISPOSITIVOS ACTIVOS'!B:D,3,FALSE)</f>
        <v>Galaxy</v>
      </c>
      <c r="O294" t="str">
        <f>+VLOOKUP(D294,'DISPOSITIVOS ACTIVOS'!B:G,6,FALSE)</f>
        <v>DE LOS SANTOS, LUIS</v>
      </c>
      <c r="P294" t="str">
        <f>+VLOOKUP(D294,'DISPOSITIVOS ACTIVOS'!$B$1:$H$299,7,FALSE)</f>
        <v>LOGISTIC SOUTH</v>
      </c>
      <c r="Q294" t="str">
        <f>IFERROR(+VLOOKUP(D294,'[1]Migracion feb25 Ver to ATT'!$B:$B,1,FALSE), "NO")</f>
        <v>615-299-3640</v>
      </c>
      <c r="R294" s="26">
        <f t="shared" si="9"/>
        <v>15</v>
      </c>
    </row>
    <row r="295" spans="1:18" x14ac:dyDescent="0.3">
      <c r="A295" s="46" t="s">
        <v>22</v>
      </c>
      <c r="B295">
        <v>25</v>
      </c>
      <c r="C295">
        <v>5</v>
      </c>
      <c r="D295" s="36" t="s">
        <v>111</v>
      </c>
      <c r="E295" t="str">
        <f>+VLOOKUP(D295,'DISPOSITIVOS ACTIVOS'!$B:$G,6,FALSE)</f>
        <v>FERNANDEZ, EDGAR</v>
      </c>
      <c r="F295" s="47">
        <v>63</v>
      </c>
      <c r="G295" s="47" t="s">
        <v>30</v>
      </c>
      <c r="H295" s="48">
        <v>35</v>
      </c>
      <c r="I295" s="47" t="s">
        <v>30</v>
      </c>
      <c r="J295" s="48">
        <v>4.66</v>
      </c>
      <c r="K295" s="48">
        <v>2.38</v>
      </c>
      <c r="L295" s="47"/>
      <c r="M295" s="49">
        <v>42.04</v>
      </c>
      <c r="N295" t="str">
        <f>+VLOOKUP(D295,'DISPOSITIVOS ACTIVOS'!B:D,3,FALSE)</f>
        <v>Motorola</v>
      </c>
      <c r="O295" t="str">
        <f>+VLOOKUP(D295,'DISPOSITIVOS ACTIVOS'!B:G,6,FALSE)</f>
        <v>FERNANDEZ, EDGAR</v>
      </c>
      <c r="P295" t="str">
        <f>+VLOOKUP(D295,'DISPOSITIVOS ACTIVOS'!$B$1:$H$299,7,FALSE)</f>
        <v>LOGISTICS CENTRAL</v>
      </c>
      <c r="Q295" t="str">
        <f>IFERROR(+VLOOKUP(D295,'[1]Migracion feb25 Ver to ATT'!$B:$B,1,FALSE), "NO")</f>
        <v>NO</v>
      </c>
      <c r="R295" s="26">
        <f t="shared" si="9"/>
        <v>25</v>
      </c>
    </row>
    <row r="296" spans="1:18" x14ac:dyDescent="0.3">
      <c r="A296" s="46" t="s">
        <v>22</v>
      </c>
      <c r="B296">
        <v>25</v>
      </c>
      <c r="C296">
        <v>5</v>
      </c>
      <c r="D296" s="37" t="s">
        <v>113</v>
      </c>
      <c r="E296" t="e">
        <f>+VLOOKUP(D296,'DISPOSITIVOS ACTIVOS'!$B:$G,6,FALSE)</f>
        <v>#N/A</v>
      </c>
      <c r="F296" s="50">
        <v>65</v>
      </c>
      <c r="G296" s="50" t="s">
        <v>30</v>
      </c>
      <c r="H296" s="51">
        <v>10</v>
      </c>
      <c r="I296" s="50" t="s">
        <v>30</v>
      </c>
      <c r="J296" s="50" t="s">
        <v>30</v>
      </c>
      <c r="K296" s="50" t="s">
        <v>30</v>
      </c>
      <c r="L296" s="50"/>
      <c r="M296" s="52">
        <v>10</v>
      </c>
      <c r="N296" t="e">
        <f>+VLOOKUP(D296,'DISPOSITIVOS ACTIVOS'!B:D,3,FALSE)</f>
        <v>#N/A</v>
      </c>
      <c r="O296" t="e">
        <f>+VLOOKUP(D296,'DISPOSITIVOS ACTIVOS'!B:G,6,FALSE)</f>
        <v>#N/A</v>
      </c>
      <c r="P296" t="e">
        <f>+VLOOKUP(D296,'DISPOSITIVOS ACTIVOS'!$B$1:$H$299,7,FALSE)</f>
        <v>#N/A</v>
      </c>
      <c r="Q296" t="str">
        <f>IFERROR(+VLOOKUP(D296,'[1]Migracion feb25 Ver to ATT'!$B:$B,1,FALSE), "NO")</f>
        <v>NO</v>
      </c>
      <c r="R296" s="26">
        <f t="shared" si="9"/>
        <v>25</v>
      </c>
    </row>
    <row r="297" spans="1:18" x14ac:dyDescent="0.3">
      <c r="A297" s="46" t="s">
        <v>22</v>
      </c>
      <c r="B297">
        <v>25</v>
      </c>
      <c r="C297">
        <v>5</v>
      </c>
      <c r="D297" s="36" t="s">
        <v>115</v>
      </c>
      <c r="E297" t="str">
        <f>+VLOOKUP(D297,'DISPOSITIVOS ACTIVOS'!$B:$G,6,FALSE)</f>
        <v>CARDOZO, ALBERT YVAN</v>
      </c>
      <c r="F297" s="47">
        <v>67</v>
      </c>
      <c r="G297" s="47" t="s">
        <v>30</v>
      </c>
      <c r="H297" s="48">
        <v>15</v>
      </c>
      <c r="I297" s="47" t="s">
        <v>30</v>
      </c>
      <c r="J297" s="48">
        <v>3.75</v>
      </c>
      <c r="K297" s="47" t="s">
        <v>30</v>
      </c>
      <c r="L297" s="47"/>
      <c r="M297" s="49">
        <v>18.75</v>
      </c>
      <c r="N297" t="str">
        <f>+VLOOKUP(D297,'DISPOSITIVOS ACTIVOS'!B:D,3,FALSE)</f>
        <v>Ipad</v>
      </c>
      <c r="O297" t="str">
        <f>+VLOOKUP(D297,'DISPOSITIVOS ACTIVOS'!B:G,6,FALSE)</f>
        <v>CARDOZO, ALBERT YVAN</v>
      </c>
      <c r="P297" t="str">
        <f>+VLOOKUP(D297,'DISPOSITIVOS ACTIVOS'!$B$1:$H$299,7,FALSE)</f>
        <v>SALES RITEFILL DSD CENTRAL</v>
      </c>
      <c r="Q297" t="str">
        <f>IFERROR(+VLOOKUP(D297,'[1]Migracion feb25 Ver to ATT'!$B:$B,1,FALSE), "NO")</f>
        <v>615-310-9970</v>
      </c>
      <c r="R297" s="26">
        <f t="shared" si="9"/>
        <v>15</v>
      </c>
    </row>
    <row r="298" spans="1:18" x14ac:dyDescent="0.3">
      <c r="A298" s="46" t="s">
        <v>22</v>
      </c>
      <c r="B298">
        <v>25</v>
      </c>
      <c r="C298">
        <v>5</v>
      </c>
      <c r="D298" s="37" t="s">
        <v>117</v>
      </c>
      <c r="E298" t="str">
        <f>+VLOOKUP(D298,'DISPOSITIVOS ACTIVOS'!$B:$G,6,FALSE)</f>
        <v>DUQUE IYENGAR, DANIELA</v>
      </c>
      <c r="F298" s="50">
        <v>69</v>
      </c>
      <c r="G298" s="50" t="s">
        <v>30</v>
      </c>
      <c r="H298" s="51">
        <v>35</v>
      </c>
      <c r="I298" s="51">
        <v>25</v>
      </c>
      <c r="J298" s="51">
        <v>4.66</v>
      </c>
      <c r="K298" s="51">
        <v>2.38</v>
      </c>
      <c r="L298" s="50"/>
      <c r="M298" s="52">
        <v>67.040000000000006</v>
      </c>
      <c r="N298" t="str">
        <f>+VLOOKUP(D298,'DISPOSITIVOS ACTIVOS'!B:D,3,FALSE)</f>
        <v>Iphone</v>
      </c>
      <c r="O298" t="str">
        <f>+VLOOKUP(D298,'DISPOSITIVOS ACTIVOS'!B:G,6,FALSE)</f>
        <v>DUQUE IYENGAR, DANIELA</v>
      </c>
      <c r="P298" t="str">
        <f>+VLOOKUP(D298,'DISPOSITIVOS ACTIVOS'!$B$1:$H$299,7,FALSE)</f>
        <v>HR</v>
      </c>
      <c r="Q298" t="str">
        <f>IFERROR(+VLOOKUP(D298,'[1]Migracion feb25 Ver to ATT'!$B:$B,1,FALSE), "NO")</f>
        <v>NO</v>
      </c>
      <c r="R298" s="26">
        <f t="shared" si="9"/>
        <v>25</v>
      </c>
    </row>
    <row r="299" spans="1:18" x14ac:dyDescent="0.3">
      <c r="A299" s="46" t="s">
        <v>22</v>
      </c>
      <c r="B299">
        <v>25</v>
      </c>
      <c r="C299">
        <v>5</v>
      </c>
      <c r="D299" s="36" t="s">
        <v>119</v>
      </c>
      <c r="E299" t="str">
        <f>+VLOOKUP(D299,'DISPOSITIVOS ACTIVOS'!$B:$G,6,FALSE)</f>
        <v>CONDE TORRES, DAVID A</v>
      </c>
      <c r="F299" s="47">
        <v>71</v>
      </c>
      <c r="G299" s="47" t="s">
        <v>30</v>
      </c>
      <c r="H299" s="48">
        <v>35</v>
      </c>
      <c r="I299" s="47" t="s">
        <v>30</v>
      </c>
      <c r="J299" s="48">
        <v>4.66</v>
      </c>
      <c r="K299" s="48">
        <v>2.38</v>
      </c>
      <c r="L299" s="47"/>
      <c r="M299" s="49">
        <v>42.04</v>
      </c>
      <c r="N299" t="str">
        <f>+VLOOKUP(D299,'DISPOSITIVOS ACTIVOS'!B:D,3,FALSE)</f>
        <v>Galaxy</v>
      </c>
      <c r="O299" t="str">
        <f>+VLOOKUP(D299,'DISPOSITIVOS ACTIVOS'!B:G,6,FALSE)</f>
        <v>CONDE TORRES, DAVID A</v>
      </c>
      <c r="P299" t="str">
        <f>+VLOOKUP(D299,'DISPOSITIVOS ACTIVOS'!$B$1:$H$299,7,FALSE)</f>
        <v>WAREHOUSE CENTRAL</v>
      </c>
      <c r="Q299" t="str">
        <f>IFERROR(+VLOOKUP(D299,'[1]Migracion feb25 Ver to ATT'!$B:$B,1,FALSE), "NO")</f>
        <v>NO</v>
      </c>
      <c r="R299" s="26">
        <f t="shared" si="9"/>
        <v>25</v>
      </c>
    </row>
    <row r="300" spans="1:18" x14ac:dyDescent="0.3">
      <c r="A300" s="46" t="s">
        <v>22</v>
      </c>
      <c r="B300">
        <v>25</v>
      </c>
      <c r="C300">
        <v>5</v>
      </c>
      <c r="D300" s="37" t="s">
        <v>121</v>
      </c>
      <c r="E300" t="str">
        <f>+VLOOKUP(D300,'DISPOSITIVOS ACTIVOS'!$B:$G,6,FALSE)</f>
        <v>ESQUIVEL, HENRY</v>
      </c>
      <c r="F300" s="50">
        <v>73</v>
      </c>
      <c r="G300" s="50" t="s">
        <v>30</v>
      </c>
      <c r="H300" s="51">
        <v>35</v>
      </c>
      <c r="I300" s="50" t="s">
        <v>30</v>
      </c>
      <c r="J300" s="51">
        <v>4.66</v>
      </c>
      <c r="K300" s="51">
        <v>2.38</v>
      </c>
      <c r="L300" s="50"/>
      <c r="M300" s="52">
        <v>42.04</v>
      </c>
      <c r="N300" t="str">
        <f>+VLOOKUP(D300,'DISPOSITIVOS ACTIVOS'!B:D,3,FALSE)</f>
        <v>Iphone</v>
      </c>
      <c r="O300" t="str">
        <f>+VLOOKUP(D300,'DISPOSITIVOS ACTIVOS'!B:G,6,FALSE)</f>
        <v>ESQUIVEL, HENRY</v>
      </c>
      <c r="P300" t="str">
        <f>+VLOOKUP(D300,'DISPOSITIVOS ACTIVOS'!$B$1:$H$299,7,FALSE)</f>
        <v>WAREHOUSE CENTRAL</v>
      </c>
      <c r="Q300" t="str">
        <f>IFERROR(+VLOOKUP(D300,'[1]Migracion feb25 Ver to ATT'!$B:$B,1,FALSE), "NO")</f>
        <v>615-390-4624</v>
      </c>
      <c r="R300" s="26">
        <f t="shared" si="9"/>
        <v>15</v>
      </c>
    </row>
    <row r="301" spans="1:18" x14ac:dyDescent="0.3">
      <c r="A301" s="46" t="s">
        <v>22</v>
      </c>
      <c r="B301">
        <v>25</v>
      </c>
      <c r="C301">
        <v>5</v>
      </c>
      <c r="D301" s="36" t="s">
        <v>123</v>
      </c>
      <c r="E301" t="str">
        <f>+VLOOKUP(D301,'DISPOSITIVOS ACTIVOS'!$B:$G,6,FALSE)</f>
        <v>VILLATORO, MERARI</v>
      </c>
      <c r="F301" s="47">
        <v>75</v>
      </c>
      <c r="G301" s="48">
        <v>317.2</v>
      </c>
      <c r="H301" s="48">
        <v>35</v>
      </c>
      <c r="I301" s="48">
        <v>38.89</v>
      </c>
      <c r="J301" s="48">
        <v>114.6</v>
      </c>
      <c r="K301" s="48">
        <v>25.42</v>
      </c>
      <c r="L301" s="47"/>
      <c r="M301" s="49">
        <v>531.11</v>
      </c>
      <c r="N301" t="str">
        <f>+VLOOKUP(D301,'DISPOSITIVOS ACTIVOS'!B:D,3,FALSE)</f>
        <v>Iphone</v>
      </c>
      <c r="O301" t="str">
        <f>+VLOOKUP(D301,'DISPOSITIVOS ACTIVOS'!B:G,6,FALSE)</f>
        <v>VILLATORO, MERARI</v>
      </c>
      <c r="P301" t="str">
        <f>+VLOOKUP(D301,'DISPOSITIVOS ACTIVOS'!$B$1:$H$299,7,FALSE)</f>
        <v>VP</v>
      </c>
      <c r="Q301" t="str">
        <f>IFERROR(+VLOOKUP(D301,'[1]Migracion feb25 Ver to ATT'!$B:$B,1,FALSE), "NO")</f>
        <v>NO</v>
      </c>
      <c r="R301" s="26">
        <f t="shared" si="9"/>
        <v>25</v>
      </c>
    </row>
    <row r="302" spans="1:18" x14ac:dyDescent="0.3">
      <c r="A302" s="46" t="s">
        <v>22</v>
      </c>
      <c r="B302">
        <v>25</v>
      </c>
      <c r="C302">
        <v>5</v>
      </c>
      <c r="D302" s="37" t="s">
        <v>125</v>
      </c>
      <c r="E302" t="str">
        <f>+VLOOKUP(D302,'DISPOSITIVOS ACTIVOS'!$B:$G,6,FALSE)</f>
        <v>BARAJAS, JESSICA</v>
      </c>
      <c r="F302" s="50">
        <v>77</v>
      </c>
      <c r="G302" s="50" t="s">
        <v>30</v>
      </c>
      <c r="H302" s="51">
        <v>35</v>
      </c>
      <c r="I302" s="50" t="s">
        <v>30</v>
      </c>
      <c r="J302" s="51">
        <v>4.66</v>
      </c>
      <c r="K302" s="51">
        <v>2.38</v>
      </c>
      <c r="L302" s="50"/>
      <c r="M302" s="52">
        <v>42.04</v>
      </c>
      <c r="N302" t="str">
        <f>+VLOOKUP(D302,'DISPOSITIVOS ACTIVOS'!B:D,3,FALSE)</f>
        <v>Iphone</v>
      </c>
      <c r="O302" t="str">
        <f>+VLOOKUP(D302,'DISPOSITIVOS ACTIVOS'!B:G,6,FALSE)</f>
        <v>BARAJAS, JESSICA</v>
      </c>
      <c r="P302" t="str">
        <f>+VLOOKUP(D302,'DISPOSITIVOS ACTIVOS'!$B$1:$H$299,7,FALSE)</f>
        <v>SALES NORTH</v>
      </c>
      <c r="Q302" t="str">
        <f>IFERROR(+VLOOKUP(D302,'[1]Migracion feb25 Ver to ATT'!$B:$B,1,FALSE), "NO")</f>
        <v>NO</v>
      </c>
      <c r="R302" s="26">
        <f t="shared" si="9"/>
        <v>25</v>
      </c>
    </row>
    <row r="303" spans="1:18" x14ac:dyDescent="0.3">
      <c r="A303" s="46" t="s">
        <v>22</v>
      </c>
      <c r="B303">
        <v>25</v>
      </c>
      <c r="C303">
        <v>5</v>
      </c>
      <c r="D303" s="36" t="s">
        <v>127</v>
      </c>
      <c r="E303" t="str">
        <f>+VLOOKUP(D303,'DISPOSITIVOS ACTIVOS'!$B:$G,6,FALSE)</f>
        <v>QUIJANO, NICOLAS</v>
      </c>
      <c r="F303" s="47">
        <v>79</v>
      </c>
      <c r="G303" s="47" t="s">
        <v>30</v>
      </c>
      <c r="H303" s="48">
        <v>35</v>
      </c>
      <c r="I303" s="47" t="s">
        <v>30</v>
      </c>
      <c r="J303" s="48">
        <v>4.66</v>
      </c>
      <c r="K303" s="48">
        <v>2.38</v>
      </c>
      <c r="L303" s="47"/>
      <c r="M303" s="49">
        <v>42.04</v>
      </c>
      <c r="N303" t="str">
        <f>+VLOOKUP(D303,'DISPOSITIVOS ACTIVOS'!B:D,3,FALSE)</f>
        <v>Iphone</v>
      </c>
      <c r="O303" t="str">
        <f>+VLOOKUP(D303,'DISPOSITIVOS ACTIVOS'!B:G,6,FALSE)</f>
        <v>QUIJANO, NICOLAS</v>
      </c>
      <c r="P303" t="str">
        <f>+VLOOKUP(D303,'DISPOSITIVOS ACTIVOS'!$B$1:$H$299,7,FALSE)</f>
        <v>CFO</v>
      </c>
      <c r="Q303" t="str">
        <f>IFERROR(+VLOOKUP(D303,'[1]Migracion feb25 Ver to ATT'!$B:$B,1,FALSE), "NO")</f>
        <v>NO</v>
      </c>
      <c r="R303" s="26">
        <f t="shared" si="9"/>
        <v>25</v>
      </c>
    </row>
    <row r="304" spans="1:18" x14ac:dyDescent="0.3">
      <c r="A304" s="46" t="s">
        <v>22</v>
      </c>
      <c r="B304">
        <v>25</v>
      </c>
      <c r="C304">
        <v>5</v>
      </c>
      <c r="D304" s="37" t="s">
        <v>129</v>
      </c>
      <c r="E304" t="str">
        <f>+VLOOKUP(D304,'DISPOSITIVOS ACTIVOS'!$B:$G,6,FALSE)</f>
        <v>PATINO, ZEDERICK</v>
      </c>
      <c r="F304" s="50">
        <v>81</v>
      </c>
      <c r="G304" s="50" t="s">
        <v>30</v>
      </c>
      <c r="H304" s="51">
        <v>35</v>
      </c>
      <c r="I304" s="50" t="s">
        <v>30</v>
      </c>
      <c r="J304" s="51">
        <v>4.66</v>
      </c>
      <c r="K304" s="51">
        <v>2.38</v>
      </c>
      <c r="L304" s="50"/>
      <c r="M304" s="52">
        <v>42.04</v>
      </c>
      <c r="N304" t="str">
        <f>+VLOOKUP(D304,'DISPOSITIVOS ACTIVOS'!B:D,3,FALSE)</f>
        <v>Iphone</v>
      </c>
      <c r="O304" t="str">
        <f>+VLOOKUP(D304,'DISPOSITIVOS ACTIVOS'!B:G,6,FALSE)</f>
        <v>PATINO, ZEDERICK</v>
      </c>
      <c r="P304" t="str">
        <f>+VLOOKUP(D304,'DISPOSITIVOS ACTIVOS'!$B$1:$H$299,7,FALSE)</f>
        <v>MERCHANDISER CENTRAL</v>
      </c>
      <c r="Q304" t="str">
        <f>IFERROR(+VLOOKUP(D304,'[1]Migracion feb25 Ver to ATT'!$B:$B,1,FALSE), "NO")</f>
        <v>NO</v>
      </c>
      <c r="R304" s="26">
        <f t="shared" si="9"/>
        <v>25</v>
      </c>
    </row>
    <row r="305" spans="1:18" x14ac:dyDescent="0.3">
      <c r="A305" s="46" t="s">
        <v>22</v>
      </c>
      <c r="B305">
        <v>25</v>
      </c>
      <c r="C305">
        <v>5</v>
      </c>
      <c r="D305" s="36" t="s">
        <v>131</v>
      </c>
      <c r="E305" t="str">
        <f>+VLOOKUP(D305,'DISPOSITIVOS ACTIVOS'!$B:$G,6,FALSE)</f>
        <v>CABANZO, DANNY</v>
      </c>
      <c r="F305" s="47">
        <v>83</v>
      </c>
      <c r="G305" s="47" t="s">
        <v>30</v>
      </c>
      <c r="H305" s="48">
        <v>35</v>
      </c>
      <c r="I305" s="47" t="s">
        <v>30</v>
      </c>
      <c r="J305" s="48">
        <v>4.66</v>
      </c>
      <c r="K305" s="48">
        <v>2.38</v>
      </c>
      <c r="L305" s="47"/>
      <c r="M305" s="49">
        <v>42.04</v>
      </c>
      <c r="N305" t="str">
        <f>+VLOOKUP(D305,'DISPOSITIVOS ACTIVOS'!B:D,3,FALSE)</f>
        <v>Iphone</v>
      </c>
      <c r="O305" t="str">
        <f>+VLOOKUP(D305,'DISPOSITIVOS ACTIVOS'!B:G,6,FALSE)</f>
        <v>CABANZO, DANNY</v>
      </c>
      <c r="P305" t="str">
        <f>+VLOOKUP(D305,'DISPOSITIVOS ACTIVOS'!$B$1:$H$299,7,FALSE)</f>
        <v>SALES CENTRAL</v>
      </c>
      <c r="Q305" t="str">
        <f>IFERROR(+VLOOKUP(D305,'[1]Migracion feb25 Ver to ATT'!$B:$B,1,FALSE), "NO")</f>
        <v>615-456-2536</v>
      </c>
      <c r="R305" s="26">
        <f t="shared" si="9"/>
        <v>15</v>
      </c>
    </row>
    <row r="306" spans="1:18" x14ac:dyDescent="0.3">
      <c r="A306" s="46" t="s">
        <v>22</v>
      </c>
      <c r="B306">
        <v>25</v>
      </c>
      <c r="C306">
        <v>5</v>
      </c>
      <c r="D306" s="37" t="s">
        <v>133</v>
      </c>
      <c r="E306" t="e">
        <f>+VLOOKUP(D306,'DISPOSITIVOS ACTIVOS'!$B:$G,6,FALSE)</f>
        <v>#N/A</v>
      </c>
      <c r="F306" s="50">
        <v>85</v>
      </c>
      <c r="G306" s="50" t="s">
        <v>30</v>
      </c>
      <c r="H306" s="50" t="s">
        <v>30</v>
      </c>
      <c r="I306" s="50" t="s">
        <v>30</v>
      </c>
      <c r="J306" s="50" t="s">
        <v>30</v>
      </c>
      <c r="K306" s="50" t="s">
        <v>30</v>
      </c>
      <c r="L306" s="50"/>
      <c r="M306" s="52">
        <v>0</v>
      </c>
      <c r="N306" t="e">
        <f>+VLOOKUP(D306,'DISPOSITIVOS ACTIVOS'!B:D,3,FALSE)</f>
        <v>#N/A</v>
      </c>
      <c r="O306" t="e">
        <f>+VLOOKUP(D306,'DISPOSITIVOS ACTIVOS'!B:G,6,FALSE)</f>
        <v>#N/A</v>
      </c>
      <c r="P306" t="e">
        <f>+VLOOKUP(D306,'DISPOSITIVOS ACTIVOS'!$B$1:$H$299,7,FALSE)</f>
        <v>#N/A</v>
      </c>
      <c r="Q306" t="str">
        <f>IFERROR(+VLOOKUP(D306,'[1]Migracion feb25 Ver to ATT'!$B:$B,1,FALSE), "NO")</f>
        <v>NO</v>
      </c>
      <c r="R306" s="26">
        <f t="shared" si="9"/>
        <v>25</v>
      </c>
    </row>
    <row r="307" spans="1:18" x14ac:dyDescent="0.3">
      <c r="A307" s="46" t="s">
        <v>22</v>
      </c>
      <c r="B307">
        <v>25</v>
      </c>
      <c r="C307">
        <v>5</v>
      </c>
      <c r="D307" s="36" t="s">
        <v>135</v>
      </c>
      <c r="E307" t="str">
        <f>+VLOOKUP(D307,'DISPOSITIVOS ACTIVOS'!$B:$G,6,FALSE)</f>
        <v>VILLATORO, MERARI</v>
      </c>
      <c r="F307" s="47">
        <v>87</v>
      </c>
      <c r="G307" s="47" t="s">
        <v>30</v>
      </c>
      <c r="H307" s="48">
        <v>35</v>
      </c>
      <c r="I307" s="48">
        <v>30.56</v>
      </c>
      <c r="J307" s="48">
        <v>4.66</v>
      </c>
      <c r="K307" s="48">
        <v>2.38</v>
      </c>
      <c r="L307" s="47"/>
      <c r="M307" s="49">
        <v>72.599999999999994</v>
      </c>
      <c r="N307" t="str">
        <f>+VLOOKUP(D307,'DISPOSITIVOS ACTIVOS'!B:D,3,FALSE)</f>
        <v>Iphone</v>
      </c>
      <c r="O307" t="str">
        <f>+VLOOKUP(D307,'DISPOSITIVOS ACTIVOS'!B:G,6,FALSE)</f>
        <v>VILLATORO, MERARI</v>
      </c>
      <c r="P307" t="str">
        <f>+VLOOKUP(D307,'DISPOSITIVOS ACTIVOS'!$B$1:$H$299,7,FALSE)</f>
        <v>VP</v>
      </c>
      <c r="Q307" t="str">
        <f>IFERROR(+VLOOKUP(D307,'[1]Migracion feb25 Ver to ATT'!$B:$B,1,FALSE), "NO")</f>
        <v>NO</v>
      </c>
      <c r="R307" s="26">
        <f t="shared" si="9"/>
        <v>25</v>
      </c>
    </row>
    <row r="308" spans="1:18" x14ac:dyDescent="0.3">
      <c r="A308" s="46" t="s">
        <v>22</v>
      </c>
      <c r="B308">
        <v>25</v>
      </c>
      <c r="C308">
        <v>5</v>
      </c>
      <c r="D308" s="37" t="s">
        <v>137</v>
      </c>
      <c r="E308" t="str">
        <f>+VLOOKUP(D308,'DISPOSITIVOS ACTIVOS'!$B:$G,6,FALSE)</f>
        <v>MADRIZ, JOHAN</v>
      </c>
      <c r="F308" s="50">
        <v>89</v>
      </c>
      <c r="G308" s="51">
        <v>51</v>
      </c>
      <c r="H308" s="51">
        <v>35</v>
      </c>
      <c r="I308" s="51">
        <v>38.89</v>
      </c>
      <c r="J308" s="51">
        <v>7</v>
      </c>
      <c r="K308" s="51">
        <v>3.37</v>
      </c>
      <c r="L308" s="50"/>
      <c r="M308" s="52">
        <v>135.26</v>
      </c>
      <c r="N308" t="str">
        <f>+VLOOKUP(D308,'DISPOSITIVOS ACTIVOS'!B:D,3,FALSE)</f>
        <v>Iphone</v>
      </c>
      <c r="O308" t="str">
        <f>+VLOOKUP(D308,'DISPOSITIVOS ACTIVOS'!B:G,6,FALSE)</f>
        <v>MADRIZ, JOHAN</v>
      </c>
      <c r="P308" t="str">
        <f>+VLOOKUP(D308,'DISPOSITIVOS ACTIVOS'!$B$1:$H$299,7,FALSE)</f>
        <v>President</v>
      </c>
      <c r="Q308" t="str">
        <f>IFERROR(+VLOOKUP(D308,'[1]Migracion feb25 Ver to ATT'!$B:$B,1,FALSE), "NO")</f>
        <v>NO</v>
      </c>
      <c r="R308" s="26">
        <f t="shared" si="9"/>
        <v>25</v>
      </c>
    </row>
    <row r="309" spans="1:18" x14ac:dyDescent="0.3">
      <c r="A309" s="46" t="s">
        <v>22</v>
      </c>
      <c r="B309">
        <v>25</v>
      </c>
      <c r="C309">
        <v>5</v>
      </c>
      <c r="D309" s="36" t="s">
        <v>47</v>
      </c>
      <c r="E309" t="e">
        <f>+VLOOKUP(D309,'DISPOSITIVOS ACTIVOS'!$B:$G,6,FALSE)</f>
        <v>#N/A</v>
      </c>
      <c r="F309" s="47">
        <v>91</v>
      </c>
      <c r="G309" s="47" t="s">
        <v>30</v>
      </c>
      <c r="H309" s="48">
        <v>10</v>
      </c>
      <c r="I309" s="47" t="s">
        <v>30</v>
      </c>
      <c r="J309" s="47" t="s">
        <v>30</v>
      </c>
      <c r="K309" s="47" t="s">
        <v>30</v>
      </c>
      <c r="L309" s="47"/>
      <c r="M309" s="49">
        <v>10</v>
      </c>
      <c r="N309" t="e">
        <f>+VLOOKUP(D309,'DISPOSITIVOS ACTIVOS'!B:D,3,FALSE)</f>
        <v>#N/A</v>
      </c>
      <c r="O309" t="e">
        <f>+VLOOKUP(D309,'DISPOSITIVOS ACTIVOS'!B:G,6,FALSE)</f>
        <v>#N/A</v>
      </c>
      <c r="P309" t="e">
        <f>+VLOOKUP(D309,'DISPOSITIVOS ACTIVOS'!$B$1:$H$299,7,FALSE)</f>
        <v>#N/A</v>
      </c>
      <c r="Q309" t="str">
        <f>IFERROR(+VLOOKUP(D309,'[1]Migracion feb25 Ver to ATT'!$B:$B,1,FALSE), "NO")</f>
        <v>NO</v>
      </c>
      <c r="R309" s="26">
        <f t="shared" si="9"/>
        <v>25</v>
      </c>
    </row>
    <row r="310" spans="1:18" x14ac:dyDescent="0.3">
      <c r="A310" s="46" t="s">
        <v>22</v>
      </c>
      <c r="B310">
        <v>25</v>
      </c>
      <c r="C310">
        <v>5</v>
      </c>
      <c r="D310" s="37" t="s">
        <v>138</v>
      </c>
      <c r="E310" t="str">
        <f>+VLOOKUP(D310,'DISPOSITIVOS ACTIVOS'!$B:$G,6,FALSE)</f>
        <v>LOPEZ, YESENIA</v>
      </c>
      <c r="F310" s="50">
        <v>93</v>
      </c>
      <c r="G310" s="50" t="s">
        <v>30</v>
      </c>
      <c r="H310" s="51">
        <v>15</v>
      </c>
      <c r="I310" s="50" t="s">
        <v>30</v>
      </c>
      <c r="J310" s="51">
        <v>3.75</v>
      </c>
      <c r="K310" s="50" t="s">
        <v>30</v>
      </c>
      <c r="L310" s="50"/>
      <c r="M310" s="52">
        <v>18.75</v>
      </c>
      <c r="N310" t="str">
        <f>+VLOOKUP(D310,'DISPOSITIVOS ACTIVOS'!B:D,3,FALSE)</f>
        <v>Ipad</v>
      </c>
      <c r="O310" t="str">
        <f>+VLOOKUP(D310,'DISPOSITIVOS ACTIVOS'!B:G,6,FALSE)</f>
        <v>LOPEZ, YESENIA</v>
      </c>
      <c r="P310" t="str">
        <f>+VLOOKUP(D310,'DISPOSITIVOS ACTIVOS'!$B$1:$H$299,7,FALSE)</f>
        <v>SALES WEST</v>
      </c>
      <c r="Q310" t="str">
        <f>IFERROR(+VLOOKUP(D310,'[1]Migracion feb25 Ver to ATT'!$B:$B,1,FALSE), "NO")</f>
        <v>NO</v>
      </c>
      <c r="R310" s="26">
        <f t="shared" si="9"/>
        <v>25</v>
      </c>
    </row>
    <row r="311" spans="1:18" x14ac:dyDescent="0.3">
      <c r="A311" s="46" t="s">
        <v>22</v>
      </c>
      <c r="B311">
        <v>25</v>
      </c>
      <c r="C311">
        <v>5</v>
      </c>
      <c r="D311" s="36" t="s">
        <v>140</v>
      </c>
      <c r="E311" t="str">
        <f>+VLOOKUP(D311,'DISPOSITIVOS ACTIVOS'!$B:$G,6,FALSE)</f>
        <v>MAITA, JOSE</v>
      </c>
      <c r="F311" s="47">
        <v>95</v>
      </c>
      <c r="G311" s="47" t="s">
        <v>30</v>
      </c>
      <c r="H311" s="48">
        <v>15</v>
      </c>
      <c r="I311" s="47" t="s">
        <v>30</v>
      </c>
      <c r="J311" s="48">
        <v>3.75</v>
      </c>
      <c r="K311" s="47" t="s">
        <v>30</v>
      </c>
      <c r="L311" s="47"/>
      <c r="M311" s="49">
        <v>18.75</v>
      </c>
      <c r="N311" t="str">
        <f>+VLOOKUP(D311,'DISPOSITIVOS ACTIVOS'!B:D,3,FALSE)</f>
        <v>Ipad</v>
      </c>
      <c r="O311" t="str">
        <f>+VLOOKUP(D311,'DISPOSITIVOS ACTIVOS'!B:G,6,FALSE)</f>
        <v>MAITA, JOSE</v>
      </c>
      <c r="P311" t="str">
        <f>+VLOOKUP(D311,'DISPOSITIVOS ACTIVOS'!$B$1:$H$299,7,FALSE)</f>
        <v>SALES SOUTH</v>
      </c>
      <c r="Q311" t="str">
        <f>IFERROR(+VLOOKUP(D311,'[1]Migracion feb25 Ver to ATT'!$B:$B,1,FALSE), "NO")</f>
        <v>NO</v>
      </c>
      <c r="R311" s="26">
        <f t="shared" si="9"/>
        <v>25</v>
      </c>
    </row>
    <row r="312" spans="1:18" x14ac:dyDescent="0.3">
      <c r="A312" s="46" t="s">
        <v>22</v>
      </c>
      <c r="B312">
        <v>25</v>
      </c>
      <c r="C312">
        <v>5</v>
      </c>
      <c r="D312" s="37" t="s">
        <v>142</v>
      </c>
      <c r="E312" t="str">
        <f>+VLOOKUP(D312,'DISPOSITIVOS ACTIVOS'!$B:$G,6,FALSE)</f>
        <v>SILVA R, ROSMARY JOSE</v>
      </c>
      <c r="F312" s="50">
        <v>97</v>
      </c>
      <c r="G312" s="50" t="s">
        <v>30</v>
      </c>
      <c r="H312" s="51">
        <v>15</v>
      </c>
      <c r="I312" s="50" t="s">
        <v>30</v>
      </c>
      <c r="J312" s="51">
        <v>3.75</v>
      </c>
      <c r="K312" s="50" t="s">
        <v>30</v>
      </c>
      <c r="L312" s="50"/>
      <c r="M312" s="52">
        <v>18.75</v>
      </c>
      <c r="N312" t="str">
        <f>+VLOOKUP(D312,'DISPOSITIVOS ACTIVOS'!B:D,3,FALSE)</f>
        <v>Ipad</v>
      </c>
      <c r="O312" t="str">
        <f>+VLOOKUP(D312,'DISPOSITIVOS ACTIVOS'!B:G,6,FALSE)</f>
        <v>SILVA R, ROSMARY JOSE</v>
      </c>
      <c r="P312" t="str">
        <f>+VLOOKUP(D312,'DISPOSITIVOS ACTIVOS'!$B$1:$H$299,7,FALSE)</f>
        <v>SALES SOUTH</v>
      </c>
      <c r="Q312" t="str">
        <f>IFERROR(+VLOOKUP(D312,'[1]Migracion feb25 Ver to ATT'!$B:$B,1,FALSE), "NO")</f>
        <v>NO</v>
      </c>
      <c r="R312" s="26">
        <f t="shared" si="9"/>
        <v>25</v>
      </c>
    </row>
    <row r="313" spans="1:18" x14ac:dyDescent="0.3">
      <c r="A313" s="46" t="s">
        <v>22</v>
      </c>
      <c r="B313">
        <v>25</v>
      </c>
      <c r="C313">
        <v>5</v>
      </c>
      <c r="D313" s="36" t="s">
        <v>144</v>
      </c>
      <c r="E313" t="str">
        <f>+VLOOKUP(D313,'DISPOSITIVOS ACTIVOS'!$B:$G,6,FALSE)</f>
        <v>PELAEZ, ELIZABETH</v>
      </c>
      <c r="F313" s="47">
        <v>99</v>
      </c>
      <c r="G313" s="47" t="s">
        <v>30</v>
      </c>
      <c r="H313" s="48">
        <v>35</v>
      </c>
      <c r="I313" s="48">
        <v>10.99</v>
      </c>
      <c r="J313" s="48">
        <v>4.66</v>
      </c>
      <c r="K313" s="48">
        <v>2.38</v>
      </c>
      <c r="L313" s="47"/>
      <c r="M313" s="49">
        <v>53.03</v>
      </c>
      <c r="N313" t="str">
        <f>+VLOOKUP(D313,'DISPOSITIVOS ACTIVOS'!B:D,3,FALSE)</f>
        <v>Iphone</v>
      </c>
      <c r="O313" t="str">
        <f>+VLOOKUP(D313,'DISPOSITIVOS ACTIVOS'!B:G,6,FALSE)</f>
        <v>PELAEZ, ELIZABETH</v>
      </c>
      <c r="P313" t="str">
        <f>+VLOOKUP(D313,'DISPOSITIVOS ACTIVOS'!$B$1:$H$299,7,FALSE)</f>
        <v>SALES CENTRAL</v>
      </c>
      <c r="Q313" t="str">
        <f>IFERROR(+VLOOKUP(D313,'[1]Migracion feb25 Ver to ATT'!$B:$B,1,FALSE), "NO")</f>
        <v>NO</v>
      </c>
      <c r="R313" s="26">
        <f t="shared" si="9"/>
        <v>25</v>
      </c>
    </row>
    <row r="314" spans="1:18" x14ac:dyDescent="0.3">
      <c r="A314" s="46" t="s">
        <v>22</v>
      </c>
      <c r="B314">
        <v>25</v>
      </c>
      <c r="C314">
        <v>5</v>
      </c>
      <c r="D314" s="37" t="s">
        <v>146</v>
      </c>
      <c r="E314" t="str">
        <f>+VLOOKUP(D314,'DISPOSITIVOS ACTIVOS'!$B:$G,6,FALSE)</f>
        <v>SUAREZ LEZCANO, FERNANDO M</v>
      </c>
      <c r="F314" s="50">
        <v>101</v>
      </c>
      <c r="G314" s="50" t="s">
        <v>30</v>
      </c>
      <c r="H314" s="51">
        <v>35</v>
      </c>
      <c r="I314" s="50" t="s">
        <v>30</v>
      </c>
      <c r="J314" s="51">
        <v>4.66</v>
      </c>
      <c r="K314" s="51">
        <v>2.38</v>
      </c>
      <c r="L314" s="50"/>
      <c r="M314" s="52">
        <v>42.04</v>
      </c>
      <c r="N314" t="str">
        <f>+VLOOKUP(D314,'DISPOSITIVOS ACTIVOS'!B:D,3,FALSE)</f>
        <v>Iphone</v>
      </c>
      <c r="O314" t="str">
        <f>+VLOOKUP(D314,'DISPOSITIVOS ACTIVOS'!B:G,6,FALSE)</f>
        <v>SUAREZ LEZCANO, FERNANDO M</v>
      </c>
      <c r="P314" t="str">
        <f>+VLOOKUP(D314,'DISPOSITIVOS ACTIVOS'!$B$1:$H$299,7,FALSE)</f>
        <v>SALES RITEFILL DSD CENTRAL</v>
      </c>
      <c r="Q314" t="str">
        <f>IFERROR(+VLOOKUP(D314,'[1]Migracion feb25 Ver to ATT'!$B:$B,1,FALSE), "NO")</f>
        <v>615-626-2116</v>
      </c>
      <c r="R314" s="26">
        <f t="shared" si="9"/>
        <v>15</v>
      </c>
    </row>
    <row r="315" spans="1:18" x14ac:dyDescent="0.3">
      <c r="A315" s="46" t="s">
        <v>22</v>
      </c>
      <c r="B315">
        <v>25</v>
      </c>
      <c r="C315">
        <v>5</v>
      </c>
      <c r="D315" s="36" t="s">
        <v>147</v>
      </c>
      <c r="E315" t="str">
        <f>+VLOOKUP(D315,'DISPOSITIVOS ACTIVOS'!$B:$G,6,FALSE)</f>
        <v>NAJERA, LIZET</v>
      </c>
      <c r="F315" s="47">
        <v>103</v>
      </c>
      <c r="G315" s="47" t="s">
        <v>30</v>
      </c>
      <c r="H315" s="48">
        <v>35</v>
      </c>
      <c r="I315" s="47" t="s">
        <v>30</v>
      </c>
      <c r="J315" s="48">
        <v>4.66</v>
      </c>
      <c r="K315" s="48">
        <v>2.38</v>
      </c>
      <c r="L315" s="47"/>
      <c r="M315" s="49">
        <v>42.04</v>
      </c>
      <c r="N315" t="str">
        <f>+VLOOKUP(D315,'DISPOSITIVOS ACTIVOS'!B:D,3,FALSE)</f>
        <v>Iphone</v>
      </c>
      <c r="O315" t="str">
        <f>+VLOOKUP(D315,'DISPOSITIVOS ACTIVOS'!B:G,6,FALSE)</f>
        <v>NAJERA, LIZET</v>
      </c>
      <c r="P315" t="str">
        <f>+VLOOKUP(D315,'DISPOSITIVOS ACTIVOS'!$B$1:$H$299,7,FALSE)</f>
        <v>SALES NORTH</v>
      </c>
      <c r="Q315" t="str">
        <f>IFERROR(+VLOOKUP(D315,'[1]Migracion feb25 Ver to ATT'!$B:$B,1,FALSE), "NO")</f>
        <v>615-626-2756</v>
      </c>
      <c r="R315" s="26">
        <f t="shared" si="9"/>
        <v>15</v>
      </c>
    </row>
    <row r="316" spans="1:18" x14ac:dyDescent="0.3">
      <c r="A316" s="46" t="s">
        <v>22</v>
      </c>
      <c r="B316">
        <v>25</v>
      </c>
      <c r="C316">
        <v>5</v>
      </c>
      <c r="D316" s="37" t="s">
        <v>149</v>
      </c>
      <c r="E316" t="str">
        <f>+VLOOKUP(D316,'DISPOSITIVOS ACTIVOS'!$B:$G,6,FALSE)</f>
        <v>LOPEZ, ALEJANDRA C</v>
      </c>
      <c r="F316" s="50">
        <v>105</v>
      </c>
      <c r="G316" s="50" t="s">
        <v>30</v>
      </c>
      <c r="H316" s="51">
        <v>35</v>
      </c>
      <c r="I316" s="50" t="s">
        <v>30</v>
      </c>
      <c r="J316" s="51">
        <v>4.66</v>
      </c>
      <c r="K316" s="51">
        <v>2.38</v>
      </c>
      <c r="L316" s="50"/>
      <c r="M316" s="52">
        <v>42.04</v>
      </c>
      <c r="N316" t="str">
        <f>+VLOOKUP(D316,'DISPOSITIVOS ACTIVOS'!B:D,3,FALSE)</f>
        <v>Iphone</v>
      </c>
      <c r="O316" t="str">
        <f>+VLOOKUP(D316,'DISPOSITIVOS ACTIVOS'!B:G,6,FALSE)</f>
        <v>LOPEZ, ALEJANDRA C</v>
      </c>
      <c r="P316" t="str">
        <f>+VLOOKUP(D316,'DISPOSITIVOS ACTIVOS'!$B$1:$H$299,7,FALSE)</f>
        <v>SALES WEST</v>
      </c>
      <c r="Q316" t="str">
        <f>IFERROR(+VLOOKUP(D316,'[1]Migracion feb25 Ver to ATT'!$B:$B,1,FALSE), "NO")</f>
        <v>615-626-3208</v>
      </c>
      <c r="R316" s="26">
        <f t="shared" si="9"/>
        <v>15</v>
      </c>
    </row>
    <row r="317" spans="1:18" x14ac:dyDescent="0.3">
      <c r="A317" s="46" t="s">
        <v>22</v>
      </c>
      <c r="B317">
        <v>25</v>
      </c>
      <c r="C317">
        <v>5</v>
      </c>
      <c r="D317" s="36" t="s">
        <v>151</v>
      </c>
      <c r="E317" t="str">
        <f>+VLOOKUP(D317,'DISPOSITIVOS ACTIVOS'!$B:$G,6,FALSE)</f>
        <v>TOVAR, ZULLYMAR</v>
      </c>
      <c r="F317" s="47">
        <v>107</v>
      </c>
      <c r="G317" s="47" t="s">
        <v>30</v>
      </c>
      <c r="H317" s="48">
        <v>35</v>
      </c>
      <c r="I317" s="47" t="s">
        <v>30</v>
      </c>
      <c r="J317" s="48">
        <v>4.66</v>
      </c>
      <c r="K317" s="48">
        <v>2.38</v>
      </c>
      <c r="L317" s="47"/>
      <c r="M317" s="49">
        <v>42.04</v>
      </c>
      <c r="N317">
        <f>+VLOOKUP(D317,'DISPOSITIVOS ACTIVOS'!B:D,3,FALSE)</f>
        <v>0</v>
      </c>
      <c r="O317" t="str">
        <f>+VLOOKUP(D317,'DISPOSITIVOS ACTIVOS'!B:G,6,FALSE)</f>
        <v>TOVAR, ZULLYMAR</v>
      </c>
      <c r="P317" t="str">
        <f>+VLOOKUP(D317,'DISPOSITIVOS ACTIVOS'!$B$1:$H$299,7,FALSE)</f>
        <v>SALES CENTRAL</v>
      </c>
      <c r="Q317" t="str">
        <f>IFERROR(+VLOOKUP(D317,'[1]Migracion feb25 Ver to ATT'!$B:$B,1,FALSE), "NO")</f>
        <v>615-626-3219</v>
      </c>
      <c r="R317" s="26">
        <f t="shared" si="9"/>
        <v>15</v>
      </c>
    </row>
    <row r="318" spans="1:18" x14ac:dyDescent="0.3">
      <c r="A318" s="46" t="s">
        <v>22</v>
      </c>
      <c r="B318">
        <v>25</v>
      </c>
      <c r="C318">
        <v>5</v>
      </c>
      <c r="D318" s="37" t="s">
        <v>153</v>
      </c>
      <c r="E318" t="str">
        <f>+VLOOKUP(D318,'DISPOSITIVOS ACTIVOS'!$B:$G,6,FALSE)</f>
        <v>HERRERA MOLINA, JOSE CARLOS</v>
      </c>
      <c r="F318" s="50">
        <v>109</v>
      </c>
      <c r="G318" s="51">
        <v>80.25</v>
      </c>
      <c r="H318" s="51">
        <v>35</v>
      </c>
      <c r="I318" s="50" t="s">
        <v>30</v>
      </c>
      <c r="J318" s="51">
        <v>7.93</v>
      </c>
      <c r="K318" s="51">
        <v>3.94</v>
      </c>
      <c r="L318" s="50"/>
      <c r="M318" s="52">
        <v>127.12</v>
      </c>
      <c r="N318" t="str">
        <f>+VLOOKUP(D318,'DISPOSITIVOS ACTIVOS'!B:D,3,FALSE)</f>
        <v>Iphone</v>
      </c>
      <c r="O318" t="str">
        <f>+VLOOKUP(D318,'DISPOSITIVOS ACTIVOS'!B:G,6,FALSE)</f>
        <v>HERRERA MOLINA, JOSE CARLOS</v>
      </c>
      <c r="P318" t="str">
        <f>+VLOOKUP(D318,'DISPOSITIVOS ACTIVOS'!$B$1:$H$299,7,FALSE)</f>
        <v>CEO</v>
      </c>
      <c r="Q318" t="str">
        <f>IFERROR(+VLOOKUP(D318,'[1]Migracion feb25 Ver to ATT'!$B:$B,1,FALSE), "NO")</f>
        <v>NO</v>
      </c>
      <c r="R318" s="26">
        <f t="shared" si="9"/>
        <v>25</v>
      </c>
    </row>
    <row r="319" spans="1:18" x14ac:dyDescent="0.3">
      <c r="A319" s="46" t="s">
        <v>22</v>
      </c>
      <c r="B319">
        <v>25</v>
      </c>
      <c r="C319">
        <v>5</v>
      </c>
      <c r="D319" s="36" t="s">
        <v>155</v>
      </c>
      <c r="E319" t="str">
        <f>+VLOOKUP(D319,'DISPOSITIVOS ACTIVOS'!$B:$G,6,FALSE)</f>
        <v>PRADO, JORGE A</v>
      </c>
      <c r="F319" s="47">
        <v>111</v>
      </c>
      <c r="G319" s="47" t="s">
        <v>30</v>
      </c>
      <c r="H319" s="48">
        <v>35</v>
      </c>
      <c r="I319" s="48">
        <v>25</v>
      </c>
      <c r="J319" s="48">
        <v>4.66</v>
      </c>
      <c r="K319" s="48">
        <v>2.38</v>
      </c>
      <c r="L319" s="47"/>
      <c r="M319" s="49">
        <v>67.040000000000006</v>
      </c>
      <c r="N319" t="str">
        <f>+VLOOKUP(D319,'DISPOSITIVOS ACTIVOS'!B:D,3,FALSE)</f>
        <v>Iphone</v>
      </c>
      <c r="O319" t="str">
        <f>+VLOOKUP(D319,'DISPOSITIVOS ACTIVOS'!B:G,6,FALSE)</f>
        <v>PRADO, JORGE A</v>
      </c>
      <c r="P319" t="str">
        <f>+VLOOKUP(D319,'DISPOSITIVOS ACTIVOS'!$B$1:$H$299,7,FALSE)</f>
        <v>COO</v>
      </c>
      <c r="Q319" t="str">
        <f>IFERROR(+VLOOKUP(D319,'[1]Migracion feb25 Ver to ATT'!$B:$B,1,FALSE), "NO")</f>
        <v>NO</v>
      </c>
      <c r="R319" s="26">
        <f t="shared" si="9"/>
        <v>25</v>
      </c>
    </row>
    <row r="320" spans="1:18" x14ac:dyDescent="0.3">
      <c r="A320" s="46" t="s">
        <v>22</v>
      </c>
      <c r="B320">
        <v>25</v>
      </c>
      <c r="C320">
        <v>5</v>
      </c>
      <c r="D320" s="37" t="s">
        <v>157</v>
      </c>
      <c r="E320" t="str">
        <f>+VLOOKUP(D320,'DISPOSITIVOS ACTIVOS'!$B:$G,6,FALSE)</f>
        <v>QUIJANO, NICOLAS</v>
      </c>
      <c r="F320" s="50">
        <v>113</v>
      </c>
      <c r="G320" s="50" t="s">
        <v>30</v>
      </c>
      <c r="H320" s="51">
        <v>35</v>
      </c>
      <c r="I320" s="50" t="s">
        <v>30</v>
      </c>
      <c r="J320" s="51">
        <v>4.66</v>
      </c>
      <c r="K320" s="51">
        <v>2.38</v>
      </c>
      <c r="L320" s="50"/>
      <c r="M320" s="52">
        <v>42.04</v>
      </c>
      <c r="N320" t="str">
        <f>+VLOOKUP(D320,'DISPOSITIVOS ACTIVOS'!B:D,3,FALSE)</f>
        <v>Iphone</v>
      </c>
      <c r="O320" t="str">
        <f>+VLOOKUP(D320,'DISPOSITIVOS ACTIVOS'!B:G,6,FALSE)</f>
        <v>QUIJANO, NICOLAS</v>
      </c>
      <c r="P320" t="str">
        <f>+VLOOKUP(D320,'DISPOSITIVOS ACTIVOS'!$B$1:$H$299,7,FALSE)</f>
        <v>CFO</v>
      </c>
      <c r="Q320" t="str">
        <f>IFERROR(+VLOOKUP(D320,'[1]Migracion feb25 Ver to ATT'!$B:$B,1,FALSE), "NO")</f>
        <v>NO</v>
      </c>
      <c r="R320" s="26">
        <f t="shared" si="9"/>
        <v>25</v>
      </c>
    </row>
    <row r="321" spans="1:18" x14ac:dyDescent="0.3">
      <c r="A321" s="46" t="s">
        <v>22</v>
      </c>
      <c r="B321">
        <v>25</v>
      </c>
      <c r="C321">
        <v>5</v>
      </c>
      <c r="D321" s="36" t="s">
        <v>159</v>
      </c>
      <c r="E321" t="str">
        <f>+VLOOKUP(D321,'DISPOSITIVOS ACTIVOS'!$B:$G,6,FALSE)</f>
        <v>MADRIZ, JOHAN</v>
      </c>
      <c r="F321" s="47">
        <v>115</v>
      </c>
      <c r="G321" s="48">
        <v>16.55</v>
      </c>
      <c r="H321" s="48">
        <v>35</v>
      </c>
      <c r="I321" s="48">
        <v>33.340000000000003</v>
      </c>
      <c r="J321" s="48">
        <v>5.59</v>
      </c>
      <c r="K321" s="48">
        <v>2.95</v>
      </c>
      <c r="L321" s="47"/>
      <c r="M321" s="49">
        <v>93.43</v>
      </c>
      <c r="N321" t="str">
        <f>+VLOOKUP(D321,'DISPOSITIVOS ACTIVOS'!B:D,3,FALSE)</f>
        <v>Iphone</v>
      </c>
      <c r="O321" t="str">
        <f>+VLOOKUP(D321,'DISPOSITIVOS ACTIVOS'!B:G,6,FALSE)</f>
        <v>MADRIZ, JOHAN</v>
      </c>
      <c r="P321" t="str">
        <f>+VLOOKUP(D321,'DISPOSITIVOS ACTIVOS'!$B$1:$H$299,7,FALSE)</f>
        <v>President</v>
      </c>
      <c r="Q321" t="str">
        <f>IFERROR(+VLOOKUP(D321,'[1]Migracion feb25 Ver to ATT'!$B:$B,1,FALSE), "NO")</f>
        <v>NO</v>
      </c>
      <c r="R321" s="26">
        <f t="shared" si="9"/>
        <v>25</v>
      </c>
    </row>
    <row r="322" spans="1:18" x14ac:dyDescent="0.3">
      <c r="A322" s="46" t="s">
        <v>22</v>
      </c>
      <c r="B322">
        <v>25</v>
      </c>
      <c r="C322">
        <v>5</v>
      </c>
      <c r="D322" s="37" t="s">
        <v>161</v>
      </c>
      <c r="E322" t="str">
        <f>+VLOOKUP(D322,'DISPOSITIVOS ACTIVOS'!$B:$G,6,FALSE)</f>
        <v>TELLO, IVAN E</v>
      </c>
      <c r="F322" s="50">
        <v>117</v>
      </c>
      <c r="G322" s="50" t="s">
        <v>30</v>
      </c>
      <c r="H322" s="51">
        <v>35</v>
      </c>
      <c r="I322" s="51">
        <v>5</v>
      </c>
      <c r="J322" s="51">
        <v>4.66</v>
      </c>
      <c r="K322" s="51">
        <v>2.38</v>
      </c>
      <c r="L322" s="50"/>
      <c r="M322" s="52">
        <v>47.04</v>
      </c>
      <c r="N322" t="str">
        <f>+VLOOKUP(D322,'DISPOSITIVOS ACTIVOS'!B:D,3,FALSE)</f>
        <v>Iphone</v>
      </c>
      <c r="O322" t="str">
        <f>+VLOOKUP(D322,'DISPOSITIVOS ACTIVOS'!B:G,6,FALSE)</f>
        <v>TELLO, IVAN E</v>
      </c>
      <c r="P322" t="str">
        <f>+VLOOKUP(D322,'DISPOSITIVOS ACTIVOS'!$B$1:$H$299,7,FALSE)</f>
        <v>SALES CENTRAL</v>
      </c>
      <c r="Q322" t="str">
        <f>IFERROR(+VLOOKUP(D322,'[1]Migracion feb25 Ver to ATT'!$B:$B,1,FALSE), "NO")</f>
        <v>NO</v>
      </c>
      <c r="R322" s="26">
        <f t="shared" si="9"/>
        <v>25</v>
      </c>
    </row>
    <row r="323" spans="1:18" x14ac:dyDescent="0.3">
      <c r="A323" s="46" t="s">
        <v>22</v>
      </c>
      <c r="B323">
        <v>25</v>
      </c>
      <c r="C323">
        <v>5</v>
      </c>
      <c r="D323" s="36" t="s">
        <v>163</v>
      </c>
      <c r="E323" t="str">
        <f>+VLOOKUP(D323,'DISPOSITIVOS ACTIVOS'!$B:$G,6,FALSE)</f>
        <v>SILVA, ELISA</v>
      </c>
      <c r="F323" s="47">
        <v>119</v>
      </c>
      <c r="G323" s="47" t="s">
        <v>30</v>
      </c>
      <c r="H323" s="48">
        <v>15</v>
      </c>
      <c r="I323" s="47" t="s">
        <v>30</v>
      </c>
      <c r="J323" s="48">
        <v>3.75</v>
      </c>
      <c r="K323" s="47" t="s">
        <v>30</v>
      </c>
      <c r="L323" s="47"/>
      <c r="M323" s="49">
        <v>18.75</v>
      </c>
      <c r="N323" t="str">
        <f>+VLOOKUP(D323,'DISPOSITIVOS ACTIVOS'!B:D,3,FALSE)</f>
        <v>Ipad</v>
      </c>
      <c r="O323" t="str">
        <f>+VLOOKUP(D323,'DISPOSITIVOS ACTIVOS'!B:G,6,FALSE)</f>
        <v>SILVA, ELISA</v>
      </c>
      <c r="P323" t="str">
        <f>+VLOOKUP(D323,'DISPOSITIVOS ACTIVOS'!$B$1:$H$299,7,FALSE)</f>
        <v>SALES WEST</v>
      </c>
      <c r="Q323" t="str">
        <f>IFERROR(+VLOOKUP(D323,'[1]Migracion feb25 Ver to ATT'!$B:$B,1,FALSE), "NO")</f>
        <v>NO</v>
      </c>
      <c r="R323" s="26">
        <f t="shared" si="9"/>
        <v>25</v>
      </c>
    </row>
    <row r="324" spans="1:18" x14ac:dyDescent="0.3">
      <c r="A324" s="46" t="s">
        <v>22</v>
      </c>
      <c r="B324">
        <v>25</v>
      </c>
      <c r="C324">
        <v>5</v>
      </c>
      <c r="D324" s="37" t="s">
        <v>165</v>
      </c>
      <c r="E324" t="str">
        <f>+VLOOKUP(D324,'DISPOSITIVOS ACTIVOS'!$B:$G,6,FALSE)</f>
        <v>REMBERT, ANTORIUS DAVUN</v>
      </c>
      <c r="F324" s="50">
        <v>121</v>
      </c>
      <c r="G324" s="50" t="s">
        <v>30</v>
      </c>
      <c r="H324" s="51">
        <v>35</v>
      </c>
      <c r="I324" s="50" t="s">
        <v>30</v>
      </c>
      <c r="J324" s="51">
        <v>4.66</v>
      </c>
      <c r="K324" s="51">
        <v>2.38</v>
      </c>
      <c r="L324" s="50"/>
      <c r="M324" s="52">
        <v>42.04</v>
      </c>
      <c r="N324" t="str">
        <f>+VLOOKUP(D324,'DISPOSITIVOS ACTIVOS'!B:D,3,FALSE)</f>
        <v xml:space="preserve">Galaxy </v>
      </c>
      <c r="O324" t="str">
        <f>+VLOOKUP(D324,'DISPOSITIVOS ACTIVOS'!B:G,6,FALSE)</f>
        <v>REMBERT, ANTORIUS DAVUN</v>
      </c>
      <c r="P324" t="str">
        <f>+VLOOKUP(D324,'DISPOSITIVOS ACTIVOS'!$B$1:$H$299,7,FALSE)</f>
        <v>LOGISTICS SOUTH</v>
      </c>
      <c r="Q324" t="str">
        <f>IFERROR(+VLOOKUP(D324,'[1]Migracion feb25 Ver to ATT'!$B:$B,1,FALSE), "NO")</f>
        <v>615-795-8193</v>
      </c>
      <c r="R324" s="26">
        <f t="shared" si="9"/>
        <v>15</v>
      </c>
    </row>
    <row r="325" spans="1:18" x14ac:dyDescent="0.3">
      <c r="A325" s="46" t="s">
        <v>22</v>
      </c>
      <c r="B325">
        <v>25</v>
      </c>
      <c r="C325">
        <v>5</v>
      </c>
      <c r="D325" s="36" t="s">
        <v>167</v>
      </c>
      <c r="E325" t="str">
        <f>+VLOOKUP(D325,'DISPOSITIVOS ACTIVOS'!$B:$G,6,FALSE)</f>
        <v>FERRER BRACHO, MERVIN J</v>
      </c>
      <c r="F325" s="47">
        <v>123</v>
      </c>
      <c r="G325" s="47" t="s">
        <v>30</v>
      </c>
      <c r="H325" s="48">
        <v>35</v>
      </c>
      <c r="I325" s="47" t="s">
        <v>30</v>
      </c>
      <c r="J325" s="48">
        <v>4.66</v>
      </c>
      <c r="K325" s="48">
        <v>2.38</v>
      </c>
      <c r="L325" s="47"/>
      <c r="M325" s="49">
        <v>42.04</v>
      </c>
      <c r="N325" t="str">
        <f>+VLOOKUP(D325,'DISPOSITIVOS ACTIVOS'!B:D,3,FALSE)</f>
        <v xml:space="preserve">Galaxy </v>
      </c>
      <c r="O325" t="str">
        <f>+VLOOKUP(D325,'DISPOSITIVOS ACTIVOS'!B:G,6,FALSE)</f>
        <v>FERRER BRACHO, MERVIN J</v>
      </c>
      <c r="P325" t="str">
        <f>+VLOOKUP(D325,'DISPOSITIVOS ACTIVOS'!$B$1:$H$299,7,FALSE)</f>
        <v>LOGISTICS CENTRAL</v>
      </c>
      <c r="Q325" t="str">
        <f>IFERROR(+VLOOKUP(D325,'[1]Migracion feb25 Ver to ATT'!$B:$B,1,FALSE), "NO")</f>
        <v>615-795-8195</v>
      </c>
      <c r="R325" s="26">
        <f t="shared" si="9"/>
        <v>15</v>
      </c>
    </row>
    <row r="326" spans="1:18" x14ac:dyDescent="0.3">
      <c r="A326" s="46" t="s">
        <v>22</v>
      </c>
      <c r="B326">
        <v>25</v>
      </c>
      <c r="C326">
        <v>5</v>
      </c>
      <c r="D326" s="37" t="s">
        <v>169</v>
      </c>
      <c r="E326" t="str">
        <f>+VLOOKUP(D326,'DISPOSITIVOS ACTIVOS'!$B:$G,6,FALSE)</f>
        <v>REYES, YULIN</v>
      </c>
      <c r="F326" s="50">
        <v>125</v>
      </c>
      <c r="G326" s="50" t="s">
        <v>30</v>
      </c>
      <c r="H326" s="51">
        <v>35</v>
      </c>
      <c r="I326" s="50" t="s">
        <v>30</v>
      </c>
      <c r="J326" s="51">
        <v>4.66</v>
      </c>
      <c r="K326" s="51">
        <v>2.38</v>
      </c>
      <c r="L326" s="50"/>
      <c r="M326" s="52">
        <v>42.04</v>
      </c>
      <c r="N326" t="str">
        <f>+VLOOKUP(D326,'DISPOSITIVOS ACTIVOS'!B:D,3,FALSE)</f>
        <v>Iphone</v>
      </c>
      <c r="O326" t="str">
        <f>+VLOOKUP(D326,'DISPOSITIVOS ACTIVOS'!B:G,6,FALSE)</f>
        <v>REYES, YULIN</v>
      </c>
      <c r="P326" t="str">
        <f>+VLOOKUP(D326,'DISPOSITIVOS ACTIVOS'!$B$1:$H$299,7,FALSE)</f>
        <v>SALES CENTRAL</v>
      </c>
      <c r="Q326" t="str">
        <f>IFERROR(+VLOOKUP(D326,'[1]Migracion feb25 Ver to ATT'!$B:$B,1,FALSE), "NO")</f>
        <v>615-804-0516</v>
      </c>
      <c r="R326" s="26">
        <f t="shared" si="9"/>
        <v>15</v>
      </c>
    </row>
    <row r="327" spans="1:18" x14ac:dyDescent="0.3">
      <c r="A327" s="46" t="s">
        <v>22</v>
      </c>
      <c r="B327">
        <v>25</v>
      </c>
      <c r="C327">
        <v>5</v>
      </c>
      <c r="D327" s="36" t="s">
        <v>171</v>
      </c>
      <c r="E327" t="str">
        <f>+VLOOKUP(D327,'DISPOSITIVOS ACTIVOS'!$B:$G,6,FALSE)</f>
        <v>QUEVEDO, NAIROVI Y</v>
      </c>
      <c r="F327" s="47">
        <v>127</v>
      </c>
      <c r="G327" s="47" t="s">
        <v>30</v>
      </c>
      <c r="H327" s="48">
        <v>35</v>
      </c>
      <c r="I327" s="47" t="s">
        <v>30</v>
      </c>
      <c r="J327" s="48">
        <v>4.66</v>
      </c>
      <c r="K327" s="48">
        <v>2.38</v>
      </c>
      <c r="L327" s="47"/>
      <c r="M327" s="49">
        <v>42.04</v>
      </c>
      <c r="N327" t="str">
        <f>+VLOOKUP(D327,'DISPOSITIVOS ACTIVOS'!B:D,3,FALSE)</f>
        <v>Iphone</v>
      </c>
      <c r="O327" t="str">
        <f>+VLOOKUP(D327,'DISPOSITIVOS ACTIVOS'!B:G,6,FALSE)</f>
        <v>QUEVEDO, NAIROVI Y</v>
      </c>
      <c r="P327" t="str">
        <f>+VLOOKUP(D327,'DISPOSITIVOS ACTIVOS'!$B$1:$H$299,7,FALSE)</f>
        <v>SALES WEST</v>
      </c>
      <c r="Q327" t="str">
        <f>IFERROR(+VLOOKUP(D327,'[1]Migracion feb25 Ver to ATT'!$B:$B,1,FALSE), "NO")</f>
        <v>NO</v>
      </c>
      <c r="R327" s="26">
        <f t="shared" si="9"/>
        <v>25</v>
      </c>
    </row>
    <row r="328" spans="1:18" x14ac:dyDescent="0.3">
      <c r="A328" s="46" t="s">
        <v>22</v>
      </c>
      <c r="B328">
        <v>25</v>
      </c>
      <c r="C328">
        <v>5</v>
      </c>
      <c r="D328" s="37" t="s">
        <v>417</v>
      </c>
      <c r="E328" t="str">
        <f>+VLOOKUP(D328,'DISPOSITIVOS ACTIVOS'!$B:$G,6,FALSE)</f>
        <v>MACHIN BENCOMO, AMALIA</v>
      </c>
      <c r="F328" s="50">
        <v>129</v>
      </c>
      <c r="G328" s="50" t="s">
        <v>30</v>
      </c>
      <c r="H328" s="51">
        <v>15</v>
      </c>
      <c r="I328" s="50" t="s">
        <v>30</v>
      </c>
      <c r="J328" s="51">
        <v>3.75</v>
      </c>
      <c r="K328" s="50" t="s">
        <v>30</v>
      </c>
      <c r="L328" s="50"/>
      <c r="M328" s="52">
        <v>18.75</v>
      </c>
      <c r="N328" t="str">
        <f>+VLOOKUP(D328,'DISPOSITIVOS ACTIVOS'!B:D,3,FALSE)</f>
        <v>Ipad</v>
      </c>
      <c r="O328" t="str">
        <f>+VLOOKUP(D328,'DISPOSITIVOS ACTIVOS'!B:G,6,FALSE)</f>
        <v>MACHIN BENCOMO, AMALIA</v>
      </c>
      <c r="P328" t="str">
        <f>+VLOOKUP(D328,'DISPOSITIVOS ACTIVOS'!$B$1:$H$299,7,FALSE)</f>
        <v>SALES CENTRAL</v>
      </c>
      <c r="Q328" t="str">
        <f>IFERROR(+VLOOKUP(D328,'[1]Migracion feb25 Ver to ATT'!$B:$B,1,FALSE), "NO")</f>
        <v>NO</v>
      </c>
      <c r="R328" s="26">
        <f t="shared" si="9"/>
        <v>25</v>
      </c>
    </row>
    <row r="329" spans="1:18" x14ac:dyDescent="0.3">
      <c r="A329" s="46" t="s">
        <v>22</v>
      </c>
      <c r="B329">
        <v>25</v>
      </c>
      <c r="C329">
        <v>5</v>
      </c>
      <c r="D329" s="36" t="s">
        <v>421</v>
      </c>
      <c r="E329" t="str">
        <f>+VLOOKUP(D329,'DISPOSITIVOS ACTIVOS'!$B:$G,6,FALSE)</f>
        <v>RENYA VIVAS DSD</v>
      </c>
      <c r="F329" s="47">
        <v>131</v>
      </c>
      <c r="G329" s="48">
        <v>-1.39</v>
      </c>
      <c r="H329" s="48">
        <v>15</v>
      </c>
      <c r="I329" s="47" t="s">
        <v>30</v>
      </c>
      <c r="J329" s="48">
        <v>3.75</v>
      </c>
      <c r="K329" s="47" t="s">
        <v>30</v>
      </c>
      <c r="L329" s="47"/>
      <c r="M329" s="49">
        <v>17.36</v>
      </c>
      <c r="N329">
        <f>+VLOOKUP(D329,'DISPOSITIVOS ACTIVOS'!B:D,3,FALSE)</f>
        <v>0</v>
      </c>
      <c r="O329" t="str">
        <f>+VLOOKUP(D329,'DISPOSITIVOS ACTIVOS'!B:G,6,FALSE)</f>
        <v>RENYA VIVAS DSD</v>
      </c>
      <c r="P329" t="str">
        <f>+VLOOKUP(D329,'DISPOSITIVOS ACTIVOS'!$B$1:$H$299,7,FALSE)</f>
        <v>SALES RITEFILL DSD WEST</v>
      </c>
      <c r="Q329" t="str">
        <f>IFERROR(+VLOOKUP(D329,'[1]Migracion feb25 Ver to ATT'!$B:$B,1,FALSE), "NO")</f>
        <v>NO</v>
      </c>
      <c r="R329" s="26">
        <f t="shared" ref="R329:R392" si="10">+IF(Q329="NO",25,15)</f>
        <v>25</v>
      </c>
    </row>
    <row r="330" spans="1:18" x14ac:dyDescent="0.3">
      <c r="A330" s="46" t="s">
        <v>22</v>
      </c>
      <c r="B330">
        <v>25</v>
      </c>
      <c r="C330">
        <v>5</v>
      </c>
      <c r="D330" s="37" t="s">
        <v>173</v>
      </c>
      <c r="E330" t="str">
        <f>+VLOOKUP(D330,'DISPOSITIVOS ACTIVOS'!$B:$G,6,FALSE)</f>
        <v>PALENCIA RODRIGUEZ, LEONARDO R</v>
      </c>
      <c r="F330" s="50">
        <v>133</v>
      </c>
      <c r="G330" s="50" t="s">
        <v>30</v>
      </c>
      <c r="H330" s="51">
        <v>35</v>
      </c>
      <c r="I330" s="51">
        <v>5</v>
      </c>
      <c r="J330" s="51">
        <v>4.66</v>
      </c>
      <c r="K330" s="51">
        <v>2.38</v>
      </c>
      <c r="L330" s="50"/>
      <c r="M330" s="52">
        <v>47.04</v>
      </c>
      <c r="N330" t="str">
        <f>+VLOOKUP(D330,'DISPOSITIVOS ACTIVOS'!B:D,3,FALSE)</f>
        <v>Iphone</v>
      </c>
      <c r="O330" t="str">
        <f>+VLOOKUP(D330,'DISPOSITIVOS ACTIVOS'!B:G,6,FALSE)</f>
        <v>PALENCIA RODRIGUEZ, LEONARDO R</v>
      </c>
      <c r="P330" t="str">
        <f>+VLOOKUP(D330,'DISPOSITIVOS ACTIVOS'!$B$1:$H$299,7,FALSE)</f>
        <v>SALES CENTRAL</v>
      </c>
      <c r="Q330" t="str">
        <f>IFERROR(+VLOOKUP(D330,'[1]Migracion feb25 Ver to ATT'!$B:$B,1,FALSE), "NO")</f>
        <v>NO</v>
      </c>
      <c r="R330" s="26">
        <f t="shared" si="10"/>
        <v>25</v>
      </c>
    </row>
    <row r="331" spans="1:18" x14ac:dyDescent="0.3">
      <c r="A331" s="46" t="s">
        <v>22</v>
      </c>
      <c r="B331">
        <v>25</v>
      </c>
      <c r="C331">
        <v>5</v>
      </c>
      <c r="D331" s="36" t="s">
        <v>175</v>
      </c>
      <c r="E331" t="str">
        <f>+VLOOKUP(D331,'DISPOSITIVOS ACTIVOS'!$B:$G,6,FALSE)</f>
        <v>PEREZ, YULIER</v>
      </c>
      <c r="F331" s="47">
        <v>135</v>
      </c>
      <c r="G331" s="47" t="s">
        <v>30</v>
      </c>
      <c r="H331" s="48">
        <v>35</v>
      </c>
      <c r="I331" s="47" t="s">
        <v>30</v>
      </c>
      <c r="J331" s="48">
        <v>4.66</v>
      </c>
      <c r="K331" s="48">
        <v>2.38</v>
      </c>
      <c r="L331" s="47"/>
      <c r="M331" s="49">
        <v>42.04</v>
      </c>
      <c r="N331" t="str">
        <f>+VLOOKUP(D331,'DISPOSITIVOS ACTIVOS'!B:D,3,FALSE)</f>
        <v xml:space="preserve">Galaxy </v>
      </c>
      <c r="O331" t="str">
        <f>+VLOOKUP(D331,'DISPOSITIVOS ACTIVOS'!B:G,6,FALSE)</f>
        <v>PEREZ, YULIER</v>
      </c>
      <c r="P331" t="str">
        <f>+VLOOKUP(D331,'DISPOSITIVOS ACTIVOS'!$B$1:$H$299,7,FALSE)</f>
        <v>LOGISTICS CENTRAL</v>
      </c>
      <c r="Q331" t="str">
        <f>IFERROR(+VLOOKUP(D331,'[1]Migracion feb25 Ver to ATT'!$B:$B,1,FALSE), "NO")</f>
        <v>615-830-4944</v>
      </c>
      <c r="R331" s="26">
        <f t="shared" si="10"/>
        <v>15</v>
      </c>
    </row>
    <row r="332" spans="1:18" x14ac:dyDescent="0.3">
      <c r="A332" s="46" t="s">
        <v>22</v>
      </c>
      <c r="B332">
        <v>25</v>
      </c>
      <c r="C332">
        <v>5</v>
      </c>
      <c r="D332" s="37" t="s">
        <v>177</v>
      </c>
      <c r="E332" t="str">
        <f>+VLOOKUP(D332,'DISPOSITIVOS ACTIVOS'!$B:$G,6,FALSE)</f>
        <v>QUIJANO, NICOLAS</v>
      </c>
      <c r="F332" s="50">
        <v>137</v>
      </c>
      <c r="G332" s="50" t="s">
        <v>30</v>
      </c>
      <c r="H332" s="51">
        <v>35</v>
      </c>
      <c r="I332" s="50" t="s">
        <v>30</v>
      </c>
      <c r="J332" s="51">
        <v>4.66</v>
      </c>
      <c r="K332" s="51">
        <v>2.38</v>
      </c>
      <c r="L332" s="50"/>
      <c r="M332" s="52">
        <v>42.04</v>
      </c>
      <c r="N332" t="str">
        <f>+VLOOKUP(D332,'DISPOSITIVOS ACTIVOS'!B:D,3,FALSE)</f>
        <v>Iphone</v>
      </c>
      <c r="O332" t="str">
        <f>+VLOOKUP(D332,'DISPOSITIVOS ACTIVOS'!B:G,6,FALSE)</f>
        <v>QUIJANO, NICOLAS</v>
      </c>
      <c r="P332" t="str">
        <f>+VLOOKUP(D332,'DISPOSITIVOS ACTIVOS'!$B$1:$H$299,7,FALSE)</f>
        <v>CFO</v>
      </c>
      <c r="Q332" t="str">
        <f>IFERROR(+VLOOKUP(D332,'[1]Migracion feb25 Ver to ATT'!$B:$B,1,FALSE), "NO")</f>
        <v>NO</v>
      </c>
      <c r="R332" s="26">
        <f t="shared" si="10"/>
        <v>25</v>
      </c>
    </row>
    <row r="333" spans="1:18" x14ac:dyDescent="0.3">
      <c r="A333" s="46" t="s">
        <v>22</v>
      </c>
      <c r="B333">
        <v>25</v>
      </c>
      <c r="C333">
        <v>5</v>
      </c>
      <c r="D333" s="36" t="s">
        <v>179</v>
      </c>
      <c r="E333" t="str">
        <f>+VLOOKUP(D333,'DISPOSITIVOS ACTIVOS'!$B:$G,6,FALSE)</f>
        <v>PEREZ HERNANDEZ, NAYRE</v>
      </c>
      <c r="F333" s="47">
        <v>139</v>
      </c>
      <c r="G333" s="47" t="s">
        <v>30</v>
      </c>
      <c r="H333" s="48">
        <v>35</v>
      </c>
      <c r="I333" s="47" t="s">
        <v>30</v>
      </c>
      <c r="J333" s="48">
        <v>4.66</v>
      </c>
      <c r="K333" s="48">
        <v>2.38</v>
      </c>
      <c r="L333" s="47"/>
      <c r="M333" s="49">
        <v>42.04</v>
      </c>
      <c r="N333" t="str">
        <f>+VLOOKUP(D333,'DISPOSITIVOS ACTIVOS'!B:D,3,FALSE)</f>
        <v>Iphone</v>
      </c>
      <c r="O333" t="str">
        <f>+VLOOKUP(D333,'DISPOSITIVOS ACTIVOS'!B:G,6,FALSE)</f>
        <v>PEREZ HERNANDEZ, NAYRE</v>
      </c>
      <c r="P333" t="str">
        <f>+VLOOKUP(D333,'DISPOSITIVOS ACTIVOS'!$B$1:$H$299,7,FALSE)</f>
        <v>SALES CENTRAL</v>
      </c>
      <c r="Q333" t="str">
        <f>IFERROR(+VLOOKUP(D333,'[1]Migracion feb25 Ver to ATT'!$B:$B,1,FALSE), "NO")</f>
        <v>615-840-0789</v>
      </c>
      <c r="R333" s="26">
        <f t="shared" si="10"/>
        <v>15</v>
      </c>
    </row>
    <row r="334" spans="1:18" x14ac:dyDescent="0.3">
      <c r="A334" s="46" t="s">
        <v>22</v>
      </c>
      <c r="B334">
        <v>25</v>
      </c>
      <c r="C334">
        <v>5</v>
      </c>
      <c r="D334" s="37" t="s">
        <v>181</v>
      </c>
      <c r="E334" t="str">
        <f>+VLOOKUP(D334,'DISPOSITIVOS ACTIVOS'!$B:$G,6,FALSE)</f>
        <v>ROA, INGRID MARCELA</v>
      </c>
      <c r="F334" s="50">
        <v>141</v>
      </c>
      <c r="G334" s="50" t="s">
        <v>30</v>
      </c>
      <c r="H334" s="51">
        <v>35</v>
      </c>
      <c r="I334" s="50" t="s">
        <v>30</v>
      </c>
      <c r="J334" s="51">
        <v>4.66</v>
      </c>
      <c r="K334" s="51">
        <v>2.38</v>
      </c>
      <c r="L334" s="50"/>
      <c r="M334" s="52">
        <v>42.04</v>
      </c>
      <c r="N334" t="str">
        <f>+VLOOKUP(D334,'DISPOSITIVOS ACTIVOS'!B:D,3,FALSE)</f>
        <v>Iphone</v>
      </c>
      <c r="O334" t="str">
        <f>+VLOOKUP(D334,'DISPOSITIVOS ACTIVOS'!B:G,6,FALSE)</f>
        <v>ROA, INGRID MARCELA</v>
      </c>
      <c r="P334" t="str">
        <f>+VLOOKUP(D334,'DISPOSITIVOS ACTIVOS'!$B$1:$H$299,7,FALSE)</f>
        <v>SALES SOUTH</v>
      </c>
      <c r="Q334" t="str">
        <f>IFERROR(+VLOOKUP(D334,'[1]Migracion feb25 Ver to ATT'!$B:$B,1,FALSE), "NO")</f>
        <v>615-854-5649</v>
      </c>
      <c r="R334" s="26">
        <f t="shared" si="10"/>
        <v>15</v>
      </c>
    </row>
    <row r="335" spans="1:18" x14ac:dyDescent="0.3">
      <c r="A335" s="46" t="s">
        <v>22</v>
      </c>
      <c r="B335">
        <v>25</v>
      </c>
      <c r="C335">
        <v>5</v>
      </c>
      <c r="D335" s="36" t="s">
        <v>183</v>
      </c>
      <c r="E335" t="str">
        <f>+VLOOKUP(D335,'DISPOSITIVOS ACTIVOS'!$B:$G,6,FALSE)</f>
        <v>TORREALBA TORRES, CAROLINA</v>
      </c>
      <c r="F335" s="47">
        <v>143</v>
      </c>
      <c r="G335" s="47" t="s">
        <v>30</v>
      </c>
      <c r="H335" s="48">
        <v>35</v>
      </c>
      <c r="I335" s="47" t="s">
        <v>30</v>
      </c>
      <c r="J335" s="48">
        <v>4.66</v>
      </c>
      <c r="K335" s="48">
        <v>2.38</v>
      </c>
      <c r="L335" s="47"/>
      <c r="M335" s="49">
        <v>42.04</v>
      </c>
      <c r="N335" t="str">
        <f>+VLOOKUP(D335,'DISPOSITIVOS ACTIVOS'!B:D,3,FALSE)</f>
        <v>Iphone</v>
      </c>
      <c r="O335" t="str">
        <f>+VLOOKUP(D335,'DISPOSITIVOS ACTIVOS'!B:G,6,FALSE)</f>
        <v>TORREALBA TORRES, CAROLINA</v>
      </c>
      <c r="P335" t="str">
        <f>+VLOOKUP(D335,'DISPOSITIVOS ACTIVOS'!$B$1:$H$299,7,FALSE)</f>
        <v>SALES WEST</v>
      </c>
      <c r="Q335" t="str">
        <f>IFERROR(+VLOOKUP(D335,'[1]Migracion feb25 Ver to ATT'!$B:$B,1,FALSE), "NO")</f>
        <v>615-854-5797</v>
      </c>
      <c r="R335" s="26">
        <f t="shared" si="10"/>
        <v>15</v>
      </c>
    </row>
    <row r="336" spans="1:18" x14ac:dyDescent="0.3">
      <c r="A336" s="46" t="s">
        <v>22</v>
      </c>
      <c r="B336">
        <v>25</v>
      </c>
      <c r="C336">
        <v>5</v>
      </c>
      <c r="D336" s="37" t="s">
        <v>185</v>
      </c>
      <c r="E336" t="str">
        <f>+VLOOKUP(D336,'DISPOSITIVOS ACTIVOS'!$B:$G,6,FALSE)</f>
        <v>TANGREDI, JORGE</v>
      </c>
      <c r="F336" s="50">
        <v>145</v>
      </c>
      <c r="G336" s="50" t="s">
        <v>30</v>
      </c>
      <c r="H336" s="51">
        <v>35</v>
      </c>
      <c r="I336" s="50" t="s">
        <v>30</v>
      </c>
      <c r="J336" s="51">
        <v>4.66</v>
      </c>
      <c r="K336" s="51">
        <v>2.38</v>
      </c>
      <c r="L336" s="50"/>
      <c r="M336" s="52">
        <v>42.04</v>
      </c>
      <c r="N336" t="str">
        <f>+VLOOKUP(D336,'DISPOSITIVOS ACTIVOS'!B:D,3,FALSE)</f>
        <v xml:space="preserve">Galaxy </v>
      </c>
      <c r="O336" t="str">
        <f>+VLOOKUP(D336,'DISPOSITIVOS ACTIVOS'!B:G,6,FALSE)</f>
        <v>TANGREDI, JORGE</v>
      </c>
      <c r="P336" t="str">
        <f>+VLOOKUP(D336,'DISPOSITIVOS ACTIVOS'!$B$1:$H$299,7,FALSE)</f>
        <v>LOGISTICS CENTRAL</v>
      </c>
      <c r="Q336" t="str">
        <f>IFERROR(+VLOOKUP(D336,'[1]Migracion feb25 Ver to ATT'!$B:$B,1,FALSE), "NO")</f>
        <v>615-862-1976</v>
      </c>
      <c r="R336" s="26">
        <f t="shared" si="10"/>
        <v>15</v>
      </c>
    </row>
    <row r="337" spans="1:18" x14ac:dyDescent="0.3">
      <c r="A337" s="46" t="s">
        <v>22</v>
      </c>
      <c r="B337">
        <v>25</v>
      </c>
      <c r="C337">
        <v>5</v>
      </c>
      <c r="D337" s="36" t="s">
        <v>187</v>
      </c>
      <c r="E337" t="str">
        <f>+VLOOKUP(D337,'DISPOSITIVOS ACTIVOS'!$B:$G,6,FALSE)</f>
        <v>BAHENA, RUDY</v>
      </c>
      <c r="F337" s="47">
        <v>147</v>
      </c>
      <c r="G337" s="47" t="s">
        <v>30</v>
      </c>
      <c r="H337" s="48">
        <v>35</v>
      </c>
      <c r="I337" s="47" t="s">
        <v>30</v>
      </c>
      <c r="J337" s="48">
        <v>4.66</v>
      </c>
      <c r="K337" s="48">
        <v>2.38</v>
      </c>
      <c r="L337" s="47"/>
      <c r="M337" s="49">
        <v>42.04</v>
      </c>
      <c r="N337" t="str">
        <f>+VLOOKUP(D337,'DISPOSITIVOS ACTIVOS'!B:D,3,FALSE)</f>
        <v>Galaxy</v>
      </c>
      <c r="O337" t="str">
        <f>+VLOOKUP(D337,'DISPOSITIVOS ACTIVOS'!B:G,6,FALSE)</f>
        <v>BAHENA, RUDY</v>
      </c>
      <c r="P337" t="str">
        <f>+VLOOKUP(D337,'DISPOSITIVOS ACTIVOS'!$B$1:$H$299,7,FALSE)</f>
        <v>LOGISTICS WEST</v>
      </c>
      <c r="Q337" t="str">
        <f>IFERROR(+VLOOKUP(D337,'[1]Migracion feb25 Ver to ATT'!$B:$B,1,FALSE), "NO")</f>
        <v>NO</v>
      </c>
      <c r="R337" s="26">
        <f t="shared" si="10"/>
        <v>25</v>
      </c>
    </row>
    <row r="338" spans="1:18" x14ac:dyDescent="0.3">
      <c r="A338" s="46" t="s">
        <v>22</v>
      </c>
      <c r="B338">
        <v>25</v>
      </c>
      <c r="C338">
        <v>5</v>
      </c>
      <c r="D338" s="37" t="s">
        <v>189</v>
      </c>
      <c r="E338" t="str">
        <f>+VLOOKUP(D338,'DISPOSITIVOS ACTIVOS'!$B:$G,6,FALSE)</f>
        <v>TORRES, LUIS</v>
      </c>
      <c r="F338" s="50">
        <v>149</v>
      </c>
      <c r="G338" s="50" t="s">
        <v>30</v>
      </c>
      <c r="H338" s="51">
        <v>35</v>
      </c>
      <c r="I338" s="50" t="s">
        <v>30</v>
      </c>
      <c r="J338" s="51">
        <v>4.66</v>
      </c>
      <c r="K338" s="51">
        <v>2.38</v>
      </c>
      <c r="L338" s="50"/>
      <c r="M338" s="52">
        <v>42.04</v>
      </c>
      <c r="N338">
        <f>+VLOOKUP(D338,'DISPOSITIVOS ACTIVOS'!B:D,3,FALSE)</f>
        <v>0</v>
      </c>
      <c r="O338" t="str">
        <f>+VLOOKUP(D338,'DISPOSITIVOS ACTIVOS'!B:G,6,FALSE)</f>
        <v>TORRES, LUIS</v>
      </c>
      <c r="P338" t="str">
        <f>+VLOOKUP(D338,'DISPOSITIVOS ACTIVOS'!$B$1:$H$299,7,FALSE)</f>
        <v>MERCHANDISER NORTH</v>
      </c>
      <c r="Q338" t="str">
        <f>IFERROR(+VLOOKUP(D338,'[1]Migracion feb25 Ver to ATT'!$B:$B,1,FALSE), "NO")</f>
        <v>615-878-0405</v>
      </c>
      <c r="R338" s="26">
        <f t="shared" si="10"/>
        <v>15</v>
      </c>
    </row>
    <row r="339" spans="1:18" x14ac:dyDescent="0.3">
      <c r="A339" s="46" t="s">
        <v>22</v>
      </c>
      <c r="B339">
        <v>25</v>
      </c>
      <c r="C339">
        <v>5</v>
      </c>
      <c r="D339" s="36" t="s">
        <v>192</v>
      </c>
      <c r="E339" t="str">
        <f>+VLOOKUP(D339,'DISPOSITIVOS ACTIVOS'!$B:$G,6,FALSE)</f>
        <v>FUENMAYOR, ANDRES</v>
      </c>
      <c r="F339" s="47">
        <v>151</v>
      </c>
      <c r="G339" s="47" t="s">
        <v>30</v>
      </c>
      <c r="H339" s="48">
        <v>35</v>
      </c>
      <c r="I339" s="47" t="s">
        <v>30</v>
      </c>
      <c r="J339" s="48">
        <v>4.66</v>
      </c>
      <c r="K339" s="48">
        <v>2.38</v>
      </c>
      <c r="L339" s="47"/>
      <c r="M339" s="49">
        <v>42.04</v>
      </c>
      <c r="N339" t="str">
        <f>+VLOOKUP(D339,'DISPOSITIVOS ACTIVOS'!B:D,3,FALSE)</f>
        <v xml:space="preserve">Galaxy </v>
      </c>
      <c r="O339" t="str">
        <f>+VLOOKUP(D339,'DISPOSITIVOS ACTIVOS'!B:G,6,FALSE)</f>
        <v>FUENMAYOR, ANDRES</v>
      </c>
      <c r="P339" t="str">
        <f>+VLOOKUP(D339,'DISPOSITIVOS ACTIVOS'!$B$1:$H$299,7,FALSE)</f>
        <v>LOGISTICS CENTRAL</v>
      </c>
      <c r="Q339" t="str">
        <f>IFERROR(+VLOOKUP(D339,'[1]Migracion feb25 Ver to ATT'!$B:$B,1,FALSE), "NO")</f>
        <v>615-879-8762</v>
      </c>
      <c r="R339" s="26">
        <f t="shared" si="10"/>
        <v>15</v>
      </c>
    </row>
    <row r="340" spans="1:18" x14ac:dyDescent="0.3">
      <c r="A340" s="46" t="s">
        <v>22</v>
      </c>
      <c r="B340">
        <v>25</v>
      </c>
      <c r="C340">
        <v>5</v>
      </c>
      <c r="D340" s="37" t="s">
        <v>195</v>
      </c>
      <c r="E340" t="str">
        <f>+VLOOKUP(D340,'DISPOSITIVOS ACTIVOS'!$B:$G,6,FALSE)</f>
        <v>BAHENA, RUDY</v>
      </c>
      <c r="F340" s="50">
        <v>153</v>
      </c>
      <c r="G340" s="50" t="s">
        <v>30</v>
      </c>
      <c r="H340" s="51">
        <v>35</v>
      </c>
      <c r="I340" s="50" t="s">
        <v>30</v>
      </c>
      <c r="J340" s="51">
        <v>4.66</v>
      </c>
      <c r="K340" s="51">
        <v>2.38</v>
      </c>
      <c r="L340" s="50"/>
      <c r="M340" s="52">
        <v>42.04</v>
      </c>
      <c r="N340" t="str">
        <f>+VLOOKUP(D340,'DISPOSITIVOS ACTIVOS'!B:D,3,FALSE)</f>
        <v xml:space="preserve">Galaxy </v>
      </c>
      <c r="O340" t="str">
        <f>+VLOOKUP(D340,'DISPOSITIVOS ACTIVOS'!B:G,6,FALSE)</f>
        <v>BAHENA, RUDY</v>
      </c>
      <c r="P340" t="str">
        <f>+VLOOKUP(D340,'DISPOSITIVOS ACTIVOS'!$B$1:$H$299,7,FALSE)</f>
        <v>LOGISTICS WEST</v>
      </c>
      <c r="Q340" t="str">
        <f>IFERROR(+VLOOKUP(D340,'[1]Migracion feb25 Ver to ATT'!$B:$B,1,FALSE), "NO")</f>
        <v>615-906-5129</v>
      </c>
      <c r="R340" s="26">
        <f t="shared" si="10"/>
        <v>15</v>
      </c>
    </row>
    <row r="341" spans="1:18" x14ac:dyDescent="0.3">
      <c r="A341" s="46" t="s">
        <v>22</v>
      </c>
      <c r="B341">
        <v>25</v>
      </c>
      <c r="C341">
        <v>5</v>
      </c>
      <c r="D341" s="36" t="s">
        <v>197</v>
      </c>
      <c r="E341" t="e">
        <f>+VLOOKUP(D341,'DISPOSITIVOS ACTIVOS'!$B:$G,6,FALSE)</f>
        <v>#N/A</v>
      </c>
      <c r="F341" s="47">
        <v>155</v>
      </c>
      <c r="G341" s="47" t="s">
        <v>30</v>
      </c>
      <c r="H341" s="47" t="s">
        <v>30</v>
      </c>
      <c r="I341" s="47" t="s">
        <v>30</v>
      </c>
      <c r="J341" s="47" t="s">
        <v>30</v>
      </c>
      <c r="K341" s="47" t="s">
        <v>30</v>
      </c>
      <c r="L341" s="47"/>
      <c r="M341" s="49">
        <v>0</v>
      </c>
      <c r="N341" t="e">
        <f>+VLOOKUP(D341,'DISPOSITIVOS ACTIVOS'!B:D,3,FALSE)</f>
        <v>#N/A</v>
      </c>
      <c r="O341" t="e">
        <f>+VLOOKUP(D341,'DISPOSITIVOS ACTIVOS'!B:G,6,FALSE)</f>
        <v>#N/A</v>
      </c>
      <c r="P341" t="e">
        <f>+VLOOKUP(D341,'DISPOSITIVOS ACTIVOS'!$B$1:$H$299,7,FALSE)</f>
        <v>#N/A</v>
      </c>
      <c r="Q341" t="str">
        <f>IFERROR(+VLOOKUP(D341,'[1]Migracion feb25 Ver to ATT'!$B:$B,1,FALSE), "NO")</f>
        <v>NO</v>
      </c>
      <c r="R341" s="26">
        <f t="shared" si="10"/>
        <v>25</v>
      </c>
    </row>
    <row r="342" spans="1:18" x14ac:dyDescent="0.3">
      <c r="A342" s="46" t="s">
        <v>22</v>
      </c>
      <c r="B342">
        <v>25</v>
      </c>
      <c r="C342">
        <v>5</v>
      </c>
      <c r="D342" s="37" t="s">
        <v>199</v>
      </c>
      <c r="E342" t="str">
        <f>+VLOOKUP(D342,'DISPOSITIVOS ACTIVOS'!$B:$G,6,FALSE)</f>
        <v>CARDOZO, ALBERT YVAN</v>
      </c>
      <c r="F342" s="50">
        <v>157</v>
      </c>
      <c r="G342" s="50" t="s">
        <v>30</v>
      </c>
      <c r="H342" s="51">
        <v>35</v>
      </c>
      <c r="I342" s="50" t="s">
        <v>30</v>
      </c>
      <c r="J342" s="51">
        <v>4.66</v>
      </c>
      <c r="K342" s="51">
        <v>2.38</v>
      </c>
      <c r="L342" s="50"/>
      <c r="M342" s="52">
        <v>42.04</v>
      </c>
      <c r="N342" t="str">
        <f>+VLOOKUP(D342,'DISPOSITIVOS ACTIVOS'!B:D,3,FALSE)</f>
        <v>Iphone</v>
      </c>
      <c r="O342" t="str">
        <f>+VLOOKUP(D342,'DISPOSITIVOS ACTIVOS'!B:G,6,FALSE)</f>
        <v>CARDOZO, ALBERT YVAN</v>
      </c>
      <c r="P342" t="str">
        <f>+VLOOKUP(D342,'DISPOSITIVOS ACTIVOS'!$B$1:$H$299,7,FALSE)</f>
        <v>SALES RITEFILL DSD CENTRAL</v>
      </c>
      <c r="Q342" t="str">
        <f>IFERROR(+VLOOKUP(D342,'[1]Migracion feb25 Ver to ATT'!$B:$B,1,FALSE), "NO")</f>
        <v>615-939-8241</v>
      </c>
      <c r="R342" s="26">
        <f t="shared" si="10"/>
        <v>15</v>
      </c>
    </row>
    <row r="343" spans="1:18" x14ac:dyDescent="0.3">
      <c r="A343" s="46" t="s">
        <v>22</v>
      </c>
      <c r="B343">
        <v>25</v>
      </c>
      <c r="C343">
        <v>5</v>
      </c>
      <c r="D343" s="36" t="s">
        <v>200</v>
      </c>
      <c r="E343" t="str">
        <f>+VLOOKUP(D343,'DISPOSITIVOS ACTIVOS'!$B:$G,6,FALSE)</f>
        <v>CASTILLO DUARTE, JOSE EDUARDO</v>
      </c>
      <c r="F343" s="47">
        <v>159</v>
      </c>
      <c r="G343" s="47" t="s">
        <v>30</v>
      </c>
      <c r="H343" s="48">
        <v>35</v>
      </c>
      <c r="I343" s="47" t="s">
        <v>30</v>
      </c>
      <c r="J343" s="48">
        <v>4.66</v>
      </c>
      <c r="K343" s="48">
        <v>2.38</v>
      </c>
      <c r="L343" s="47"/>
      <c r="M343" s="49">
        <v>42.04</v>
      </c>
      <c r="N343" t="str">
        <f>+VLOOKUP(D343,'DISPOSITIVOS ACTIVOS'!B:D,3,FALSE)</f>
        <v>Galaxy</v>
      </c>
      <c r="O343" t="str">
        <f>+VLOOKUP(D343,'DISPOSITIVOS ACTIVOS'!B:G,6,FALSE)</f>
        <v>CASTILLO DUARTE, JOSE EDUARDO</v>
      </c>
      <c r="P343" t="str">
        <f>+VLOOKUP(D343,'DISPOSITIVOS ACTIVOS'!$B$1:$H$299,7,FALSE)</f>
        <v>Finance</v>
      </c>
      <c r="Q343" t="str">
        <f>IFERROR(+VLOOKUP(D343,'[1]Migracion feb25 Ver to ATT'!$B:$B,1,FALSE), "NO")</f>
        <v>NO</v>
      </c>
      <c r="R343" s="26">
        <f t="shared" si="10"/>
        <v>25</v>
      </c>
    </row>
    <row r="344" spans="1:18" x14ac:dyDescent="0.3">
      <c r="A344" s="46" t="s">
        <v>22</v>
      </c>
      <c r="B344">
        <v>25</v>
      </c>
      <c r="C344">
        <v>5</v>
      </c>
      <c r="D344" s="37" t="s">
        <v>45</v>
      </c>
      <c r="E344" t="str">
        <f>+VLOOKUP(D344,'DISPOSITIVOS ACTIVOS'!$B:$G,6,FALSE)</f>
        <v>PALENCIA RODRIGUEZ, LEONARDO R</v>
      </c>
      <c r="F344" s="50">
        <v>161</v>
      </c>
      <c r="G344" s="50" t="s">
        <v>30</v>
      </c>
      <c r="H344" s="51">
        <v>15</v>
      </c>
      <c r="I344" s="50" t="s">
        <v>30</v>
      </c>
      <c r="J344" s="51">
        <v>3.75</v>
      </c>
      <c r="K344" s="50" t="s">
        <v>30</v>
      </c>
      <c r="L344" s="50"/>
      <c r="M344" s="52">
        <v>18.75</v>
      </c>
      <c r="N344" t="str">
        <f>+VLOOKUP(D344,'DISPOSITIVOS ACTIVOS'!B:D,3,FALSE)</f>
        <v>Ipad</v>
      </c>
      <c r="O344" t="str">
        <f>+VLOOKUP(D344,'DISPOSITIVOS ACTIVOS'!B:G,6,FALSE)</f>
        <v>PALENCIA RODRIGUEZ, LEONARDO R</v>
      </c>
      <c r="P344" t="str">
        <f>+VLOOKUP(D344,'DISPOSITIVOS ACTIVOS'!$B$1:$H$299,7,FALSE)</f>
        <v>SALES CENTRAL</v>
      </c>
      <c r="Q344" t="str">
        <f>IFERROR(+VLOOKUP(D344,'[1]Migracion feb25 Ver to ATT'!$B:$B,1,FALSE), "NO")</f>
        <v>NO</v>
      </c>
      <c r="R344" s="26">
        <f t="shared" si="10"/>
        <v>25</v>
      </c>
    </row>
    <row r="345" spans="1:18" x14ac:dyDescent="0.3">
      <c r="A345" s="46" t="s">
        <v>22</v>
      </c>
      <c r="B345">
        <v>25</v>
      </c>
      <c r="C345">
        <v>5</v>
      </c>
      <c r="D345" s="36" t="s">
        <v>43</v>
      </c>
      <c r="E345" t="str">
        <f>+VLOOKUP(D345,'DISPOSITIVOS ACTIVOS'!$B:$G,6,FALSE)</f>
        <v>TELLO, IVAN E</v>
      </c>
      <c r="F345" s="47">
        <v>163</v>
      </c>
      <c r="G345" s="47" t="s">
        <v>30</v>
      </c>
      <c r="H345" s="48">
        <v>15</v>
      </c>
      <c r="I345" s="47" t="s">
        <v>30</v>
      </c>
      <c r="J345" s="48">
        <v>3.75</v>
      </c>
      <c r="K345" s="47" t="s">
        <v>30</v>
      </c>
      <c r="L345" s="47"/>
      <c r="M345" s="49">
        <v>18.75</v>
      </c>
      <c r="N345" t="str">
        <f>+VLOOKUP(D345,'DISPOSITIVOS ACTIVOS'!B:D,3,FALSE)</f>
        <v>Ipad</v>
      </c>
      <c r="O345" t="str">
        <f>+VLOOKUP(D345,'DISPOSITIVOS ACTIVOS'!B:G,6,FALSE)</f>
        <v>TELLO, IVAN E</v>
      </c>
      <c r="P345" t="str">
        <f>+VLOOKUP(D345,'DISPOSITIVOS ACTIVOS'!$B$1:$H$299,7,FALSE)</f>
        <v>SALES CENTRAL</v>
      </c>
      <c r="Q345" t="str">
        <f>IFERROR(+VLOOKUP(D345,'[1]Migracion feb25 Ver to ATT'!$B:$B,1,FALSE), "NO")</f>
        <v>NO</v>
      </c>
      <c r="R345" s="26">
        <f t="shared" si="10"/>
        <v>25</v>
      </c>
    </row>
    <row r="346" spans="1:18" x14ac:dyDescent="0.3">
      <c r="A346" s="46" t="s">
        <v>22</v>
      </c>
      <c r="B346">
        <v>25</v>
      </c>
      <c r="C346">
        <v>5</v>
      </c>
      <c r="D346" s="37" t="s">
        <v>202</v>
      </c>
      <c r="E346" t="str">
        <f>+VLOOKUP(D346,'DISPOSITIVOS ACTIVOS'!$B:$G,6,FALSE)</f>
        <v>SILVA, ELISA</v>
      </c>
      <c r="F346" s="50">
        <v>165</v>
      </c>
      <c r="G346" s="50" t="s">
        <v>30</v>
      </c>
      <c r="H346" s="51">
        <v>35</v>
      </c>
      <c r="I346" s="50" t="s">
        <v>30</v>
      </c>
      <c r="J346" s="51">
        <v>4.66</v>
      </c>
      <c r="K346" s="51">
        <v>2.38</v>
      </c>
      <c r="L346" s="50"/>
      <c r="M346" s="52">
        <v>42.04</v>
      </c>
      <c r="N346" t="str">
        <f>+VLOOKUP(D346,'DISPOSITIVOS ACTIVOS'!B:D,3,FALSE)</f>
        <v>Iphone</v>
      </c>
      <c r="O346" t="str">
        <f>+VLOOKUP(D346,'DISPOSITIVOS ACTIVOS'!B:G,6,FALSE)</f>
        <v>SILVA, ELISA</v>
      </c>
      <c r="P346" t="str">
        <f>+VLOOKUP(D346,'DISPOSITIVOS ACTIVOS'!$B$1:$H$299,7,FALSE)</f>
        <v>SALES WEST</v>
      </c>
      <c r="Q346" t="str">
        <f>IFERROR(+VLOOKUP(D346,'[1]Migracion feb25 Ver to ATT'!$B:$B,1,FALSE), "NO")</f>
        <v>615-961-5944</v>
      </c>
      <c r="R346" s="26">
        <f t="shared" si="10"/>
        <v>15</v>
      </c>
    </row>
    <row r="347" spans="1:18" x14ac:dyDescent="0.3">
      <c r="A347" s="46" t="s">
        <v>22</v>
      </c>
      <c r="B347">
        <v>25</v>
      </c>
      <c r="C347">
        <v>5</v>
      </c>
      <c r="D347" s="36" t="s">
        <v>449</v>
      </c>
      <c r="E347" t="str">
        <f>+VLOOKUP(D347,'DISPOSITIVOS ACTIVOS'!$B:$G,6,FALSE)</f>
        <v>RIOS BLANDON, AUGUSTO C</v>
      </c>
      <c r="F347" s="47">
        <v>167</v>
      </c>
      <c r="G347" s="47" t="s">
        <v>30</v>
      </c>
      <c r="H347" s="48">
        <v>15</v>
      </c>
      <c r="I347" s="47" t="s">
        <v>30</v>
      </c>
      <c r="J347" s="48">
        <v>3.75</v>
      </c>
      <c r="K347" s="47" t="s">
        <v>30</v>
      </c>
      <c r="L347" s="47"/>
      <c r="M347" s="49">
        <v>18.75</v>
      </c>
      <c r="N347" t="str">
        <f>+VLOOKUP(D347,'DISPOSITIVOS ACTIVOS'!B:D,3,FALSE)</f>
        <v>Ipad</v>
      </c>
      <c r="O347" t="str">
        <f>+VLOOKUP(D347,'DISPOSITIVOS ACTIVOS'!B:G,6,FALSE)</f>
        <v>RIOS BLANDON, AUGUSTO C</v>
      </c>
      <c r="P347" t="str">
        <f>+VLOOKUP(D347,'DISPOSITIVOS ACTIVOS'!$B$1:$H$299,7,FALSE)</f>
        <v>SALES NORTH</v>
      </c>
      <c r="Q347" t="str">
        <f>IFERROR(+VLOOKUP(D347,'[1]Migracion feb25 Ver to ATT'!$B:$B,1,FALSE), "NO")</f>
        <v>NO</v>
      </c>
      <c r="R347" s="26">
        <f t="shared" si="10"/>
        <v>25</v>
      </c>
    </row>
    <row r="348" spans="1:18" x14ac:dyDescent="0.3">
      <c r="A348" s="46" t="s">
        <v>22</v>
      </c>
      <c r="B348">
        <v>25</v>
      </c>
      <c r="C348">
        <v>5</v>
      </c>
      <c r="D348" s="37" t="s">
        <v>204</v>
      </c>
      <c r="E348" t="str">
        <f>+VLOOKUP(D348,'DISPOSITIVOS ACTIVOS'!$B:$G,6,FALSE)</f>
        <v>SOLIS SAN ANDRES, KARLA G</v>
      </c>
      <c r="F348" s="50">
        <v>169</v>
      </c>
      <c r="G348" s="50" t="s">
        <v>30</v>
      </c>
      <c r="H348" s="51">
        <v>35</v>
      </c>
      <c r="I348" s="50" t="s">
        <v>30</v>
      </c>
      <c r="J348" s="51">
        <v>4.66</v>
      </c>
      <c r="K348" s="51">
        <v>2.38</v>
      </c>
      <c r="L348" s="50"/>
      <c r="M348" s="52">
        <v>42.04</v>
      </c>
      <c r="N348" t="str">
        <f>+VLOOKUP(D348,'DISPOSITIVOS ACTIVOS'!B:D,3,FALSE)</f>
        <v>Iphone</v>
      </c>
      <c r="O348" t="str">
        <f>+VLOOKUP(D348,'DISPOSITIVOS ACTIVOS'!B:G,6,FALSE)</f>
        <v>SOLIS SAN ANDRES, KARLA G</v>
      </c>
      <c r="P348" t="str">
        <f>+VLOOKUP(D348,'DISPOSITIVOS ACTIVOS'!$B$1:$H$299,7,FALSE)</f>
        <v>SALES WEST</v>
      </c>
      <c r="Q348" t="str">
        <f>IFERROR(+VLOOKUP(D348,'[1]Migracion feb25 Ver to ATT'!$B:$B,1,FALSE), "NO")</f>
        <v>NO</v>
      </c>
      <c r="R348" s="26">
        <f t="shared" si="10"/>
        <v>25</v>
      </c>
    </row>
    <row r="349" spans="1:18" x14ac:dyDescent="0.3">
      <c r="A349" s="46" t="s">
        <v>22</v>
      </c>
      <c r="B349">
        <v>25</v>
      </c>
      <c r="C349">
        <v>5</v>
      </c>
      <c r="D349" s="36" t="s">
        <v>454</v>
      </c>
      <c r="E349" t="str">
        <f>+VLOOKUP(D349,'DISPOSITIVOS ACTIVOS'!$B:$G,6,FALSE)</f>
        <v>SUAREZ LEZCANO, FERNANDO M</v>
      </c>
      <c r="F349" s="47">
        <v>171</v>
      </c>
      <c r="G349" s="47" t="s">
        <v>30</v>
      </c>
      <c r="H349" s="48">
        <v>15</v>
      </c>
      <c r="I349" s="47" t="s">
        <v>30</v>
      </c>
      <c r="J349" s="48">
        <v>3.75</v>
      </c>
      <c r="K349" s="47" t="s">
        <v>30</v>
      </c>
      <c r="L349" s="47"/>
      <c r="M349" s="49">
        <v>18.75</v>
      </c>
      <c r="N349" t="str">
        <f>+VLOOKUP(D349,'DISPOSITIVOS ACTIVOS'!B:D,3,FALSE)</f>
        <v xml:space="preserve">Galaxy </v>
      </c>
      <c r="O349" t="str">
        <f>+VLOOKUP(D349,'DISPOSITIVOS ACTIVOS'!B:G,6,FALSE)</f>
        <v>SUAREZ LEZCANO, FERNANDO M</v>
      </c>
      <c r="P349" t="str">
        <f>+VLOOKUP(D349,'DISPOSITIVOS ACTIVOS'!$B$1:$H$299,7,FALSE)</f>
        <v>SALES RITEFILL DSD CENTRAL</v>
      </c>
      <c r="Q349" t="str">
        <f>IFERROR(+VLOOKUP(D349,'[1]Migracion feb25 Ver to ATT'!$B:$B,1,FALSE), "NO")</f>
        <v>NO</v>
      </c>
      <c r="R349" s="26">
        <f t="shared" si="10"/>
        <v>25</v>
      </c>
    </row>
    <row r="350" spans="1:18" x14ac:dyDescent="0.3">
      <c r="A350" s="46" t="s">
        <v>22</v>
      </c>
      <c r="B350">
        <v>25</v>
      </c>
      <c r="C350">
        <v>5</v>
      </c>
      <c r="D350" s="37" t="s">
        <v>206</v>
      </c>
      <c r="E350" t="str">
        <f>+VLOOKUP(D350,'DISPOSITIVOS ACTIVOS'!$B:$G,6,FALSE)</f>
        <v>LONGA, CARMEN B</v>
      </c>
      <c r="F350" s="50">
        <v>173</v>
      </c>
      <c r="G350" s="50" t="s">
        <v>30</v>
      </c>
      <c r="H350" s="51">
        <v>35</v>
      </c>
      <c r="I350" s="50" t="s">
        <v>30</v>
      </c>
      <c r="J350" s="51">
        <v>4.66</v>
      </c>
      <c r="K350" s="51">
        <v>2.38</v>
      </c>
      <c r="L350" s="50"/>
      <c r="M350" s="52">
        <v>42.04</v>
      </c>
      <c r="N350" t="str">
        <f>+VLOOKUP(D350,'DISPOSITIVOS ACTIVOS'!B:D,3,FALSE)</f>
        <v>Iphone</v>
      </c>
      <c r="O350" t="str">
        <f>+VLOOKUP(D350,'DISPOSITIVOS ACTIVOS'!B:G,6,FALSE)</f>
        <v>LONGA, CARMEN B</v>
      </c>
      <c r="P350" t="str">
        <f>+VLOOKUP(D350,'DISPOSITIVOS ACTIVOS'!$B$1:$H$299,7,FALSE)</f>
        <v>LOGISTICS WEST</v>
      </c>
      <c r="Q350" t="str">
        <f>IFERROR(+VLOOKUP(D350,'[1]Migracion feb25 Ver to ATT'!$B:$B,1,FALSE), "NO")</f>
        <v>NO</v>
      </c>
      <c r="R350" s="26">
        <f t="shared" si="10"/>
        <v>25</v>
      </c>
    </row>
    <row r="351" spans="1:18" x14ac:dyDescent="0.3">
      <c r="A351" s="46" t="s">
        <v>22</v>
      </c>
      <c r="B351">
        <v>25</v>
      </c>
      <c r="C351">
        <v>5</v>
      </c>
      <c r="D351" s="36" t="s">
        <v>208</v>
      </c>
      <c r="E351" t="str">
        <f>+VLOOKUP(D351,'DISPOSITIVOS ACTIVOS'!$B:$G,6,FALSE)</f>
        <v>LUCIO FLORES, JOSE ANGEL</v>
      </c>
      <c r="F351" s="47">
        <v>175</v>
      </c>
      <c r="G351" s="47" t="s">
        <v>30</v>
      </c>
      <c r="H351" s="48">
        <v>35</v>
      </c>
      <c r="I351" s="47" t="s">
        <v>30</v>
      </c>
      <c r="J351" s="48">
        <v>4.66</v>
      </c>
      <c r="K351" s="48">
        <v>2.38</v>
      </c>
      <c r="L351" s="47"/>
      <c r="M351" s="49">
        <v>42.04</v>
      </c>
      <c r="N351" t="str">
        <f>+VLOOKUP(D351,'DISPOSITIVOS ACTIVOS'!B:D,3,FALSE)</f>
        <v>Iphone</v>
      </c>
      <c r="O351" t="str">
        <f>+VLOOKUP(D351,'DISPOSITIVOS ACTIVOS'!B:G,6,FALSE)</f>
        <v>LUCIO FLORES, JOSE ANGEL</v>
      </c>
      <c r="P351" t="str">
        <f>+VLOOKUP(D351,'DISPOSITIVOS ACTIVOS'!$B$1:$H$299,7,FALSE)</f>
        <v>SALES NORTH</v>
      </c>
      <c r="Q351" t="str">
        <f>IFERROR(+VLOOKUP(D351,'[1]Migracion feb25 Ver to ATT'!$B:$B,1,FALSE), "NO")</f>
        <v>629-239-0999</v>
      </c>
      <c r="R351" s="26">
        <f t="shared" si="10"/>
        <v>15</v>
      </c>
    </row>
    <row r="352" spans="1:18" x14ac:dyDescent="0.3">
      <c r="A352" s="46" t="s">
        <v>22</v>
      </c>
      <c r="B352">
        <v>25</v>
      </c>
      <c r="C352">
        <v>5</v>
      </c>
      <c r="D352" s="37" t="s">
        <v>210</v>
      </c>
      <c r="E352" t="str">
        <f>+VLOOKUP(D352,'DISPOSITIVOS ACTIVOS'!$B:$G,6,FALSE)</f>
        <v>GUTIERREZ TOVAR, YNGEL J</v>
      </c>
      <c r="F352" s="50">
        <v>177</v>
      </c>
      <c r="G352" s="50" t="s">
        <v>30</v>
      </c>
      <c r="H352" s="51">
        <v>15</v>
      </c>
      <c r="I352" s="50" t="s">
        <v>30</v>
      </c>
      <c r="J352" s="51">
        <v>3.75</v>
      </c>
      <c r="K352" s="50" t="s">
        <v>30</v>
      </c>
      <c r="L352" s="50"/>
      <c r="M352" s="52">
        <v>18.75</v>
      </c>
      <c r="N352" t="str">
        <f>+VLOOKUP(D352,'DISPOSITIVOS ACTIVOS'!B:D,3,FALSE)</f>
        <v>Ipad</v>
      </c>
      <c r="O352" t="str">
        <f>+VLOOKUP(D352,'DISPOSITIVOS ACTIVOS'!B:G,6,FALSE)</f>
        <v>GUTIERREZ TOVAR, YNGEL J</v>
      </c>
      <c r="P352" t="str">
        <f>+VLOOKUP(D352,'DISPOSITIVOS ACTIVOS'!$B$1:$H$299,7,FALSE)</f>
        <v>SALES CENTRAL</v>
      </c>
      <c r="Q352" t="str">
        <f>IFERROR(+VLOOKUP(D352,'[1]Migracion feb25 Ver to ATT'!$B:$B,1,FALSE), "NO")</f>
        <v>NO</v>
      </c>
      <c r="R352" s="26">
        <f t="shared" si="10"/>
        <v>25</v>
      </c>
    </row>
    <row r="353" spans="1:18" x14ac:dyDescent="0.3">
      <c r="A353" s="46" t="s">
        <v>22</v>
      </c>
      <c r="B353">
        <v>25</v>
      </c>
      <c r="C353">
        <v>5</v>
      </c>
      <c r="D353" s="36" t="s">
        <v>212</v>
      </c>
      <c r="E353" t="str">
        <f>+VLOOKUP(D353,'DISPOSITIVOS ACTIVOS'!$B:$G,6,FALSE)</f>
        <v>GUTIERREZ TOVAR, YNGEL J</v>
      </c>
      <c r="F353" s="47">
        <v>179</v>
      </c>
      <c r="G353" s="47" t="s">
        <v>30</v>
      </c>
      <c r="H353" s="48">
        <v>35</v>
      </c>
      <c r="I353" s="47" t="s">
        <v>30</v>
      </c>
      <c r="J353" s="48">
        <v>4.66</v>
      </c>
      <c r="K353" s="48">
        <v>2.38</v>
      </c>
      <c r="L353" s="47"/>
      <c r="M353" s="49">
        <v>42.04</v>
      </c>
      <c r="N353" t="str">
        <f>+VLOOKUP(D353,'DISPOSITIVOS ACTIVOS'!B:D,3,FALSE)</f>
        <v>Iphone</v>
      </c>
      <c r="O353" t="str">
        <f>+VLOOKUP(D353,'DISPOSITIVOS ACTIVOS'!B:G,6,FALSE)</f>
        <v>GUTIERREZ TOVAR, YNGEL J</v>
      </c>
      <c r="P353" t="str">
        <f>+VLOOKUP(D353,'DISPOSITIVOS ACTIVOS'!$B$1:$H$299,7,FALSE)</f>
        <v>SALES CENTRAL</v>
      </c>
      <c r="Q353" t="str">
        <f>IFERROR(+VLOOKUP(D353,'[1]Migracion feb25 Ver to ATT'!$B:$B,1,FALSE), "NO")</f>
        <v>629-256-9168</v>
      </c>
      <c r="R353" s="26">
        <f t="shared" si="10"/>
        <v>15</v>
      </c>
    </row>
    <row r="354" spans="1:18" x14ac:dyDescent="0.3">
      <c r="A354" s="46" t="s">
        <v>22</v>
      </c>
      <c r="B354">
        <v>25</v>
      </c>
      <c r="C354">
        <v>5</v>
      </c>
      <c r="D354" s="37" t="s">
        <v>213</v>
      </c>
      <c r="E354" t="str">
        <f>+VLOOKUP(D354,'DISPOSITIVOS ACTIVOS'!$B:$G,6,FALSE)</f>
        <v>BRITO SALAZAR, RICARDO JOSE</v>
      </c>
      <c r="F354" s="50">
        <v>181</v>
      </c>
      <c r="G354" s="50" t="s">
        <v>30</v>
      </c>
      <c r="H354" s="51">
        <v>35</v>
      </c>
      <c r="I354" s="50" t="s">
        <v>30</v>
      </c>
      <c r="J354" s="51">
        <v>4.66</v>
      </c>
      <c r="K354" s="51">
        <v>2.38</v>
      </c>
      <c r="L354" s="50"/>
      <c r="M354" s="52">
        <v>42.04</v>
      </c>
      <c r="N354" t="str">
        <f>+VLOOKUP(D354,'DISPOSITIVOS ACTIVOS'!B:D,3,FALSE)</f>
        <v>Iphone</v>
      </c>
      <c r="O354" t="str">
        <f>+VLOOKUP(D354,'DISPOSITIVOS ACTIVOS'!B:G,6,FALSE)</f>
        <v>BRITO SALAZAR, RICARDO JOSE</v>
      </c>
      <c r="P354" t="str">
        <f>+VLOOKUP(D354,'DISPOSITIVOS ACTIVOS'!$B$1:$H$299,7,FALSE)</f>
        <v>HR</v>
      </c>
      <c r="Q354" t="str">
        <f>IFERROR(+VLOOKUP(D354,'[1]Migracion feb25 Ver to ATT'!$B:$B,1,FALSE), "NO")</f>
        <v>NO</v>
      </c>
      <c r="R354" s="26">
        <f t="shared" si="10"/>
        <v>25</v>
      </c>
    </row>
    <row r="355" spans="1:18" x14ac:dyDescent="0.3">
      <c r="A355" s="46" t="s">
        <v>22</v>
      </c>
      <c r="B355">
        <v>25</v>
      </c>
      <c r="C355">
        <v>5</v>
      </c>
      <c r="D355" s="36" t="s">
        <v>215</v>
      </c>
      <c r="E355" t="str">
        <f>+VLOOKUP(D355,'DISPOSITIVOS ACTIVOS'!$B:$G,6,FALSE)</f>
        <v>LODYGENSKY, ISABELE</v>
      </c>
      <c r="F355" s="47">
        <v>183</v>
      </c>
      <c r="G355" s="48">
        <v>24</v>
      </c>
      <c r="H355" s="48">
        <v>35</v>
      </c>
      <c r="I355" s="48">
        <v>20</v>
      </c>
      <c r="J355" s="48">
        <v>5.28</v>
      </c>
      <c r="K355" s="48">
        <v>2.76</v>
      </c>
      <c r="L355" s="47"/>
      <c r="M355" s="49">
        <v>87.04</v>
      </c>
      <c r="N355" t="str">
        <f>+VLOOKUP(D355,'DISPOSITIVOS ACTIVOS'!B:D,3,FALSE)</f>
        <v>Iphone</v>
      </c>
      <c r="O355" t="str">
        <f>+VLOOKUP(D355,'DISPOSITIVOS ACTIVOS'!B:G,6,FALSE)</f>
        <v>LODYGENSKY, ISABELE</v>
      </c>
      <c r="P355" t="str">
        <f>+VLOOKUP(D355,'DISPOSITIVOS ACTIVOS'!$B$1:$H$299,7,FALSE)</f>
        <v>Corpotative ESG 110002</v>
      </c>
      <c r="Q355" t="str">
        <f>IFERROR(+VLOOKUP(D355,'[1]Migracion feb25 Ver to ATT'!$B:$B,1,FALSE), "NO")</f>
        <v>NO</v>
      </c>
      <c r="R355" s="26">
        <f t="shared" si="10"/>
        <v>25</v>
      </c>
    </row>
    <row r="356" spans="1:18" x14ac:dyDescent="0.3">
      <c r="A356" s="46" t="s">
        <v>22</v>
      </c>
      <c r="B356">
        <v>25</v>
      </c>
      <c r="C356">
        <v>5</v>
      </c>
      <c r="D356" s="37" t="s">
        <v>464</v>
      </c>
      <c r="E356">
        <f>+VLOOKUP(D356,'DISPOSITIVOS ACTIVOS'!$B:$G,6,FALSE)</f>
        <v>0</v>
      </c>
      <c r="F356" s="50">
        <v>185</v>
      </c>
      <c r="G356" s="50" t="s">
        <v>30</v>
      </c>
      <c r="H356" s="51">
        <v>15</v>
      </c>
      <c r="I356" s="50" t="s">
        <v>30</v>
      </c>
      <c r="J356" s="51">
        <v>3.75</v>
      </c>
      <c r="K356" s="50" t="s">
        <v>30</v>
      </c>
      <c r="L356" s="50"/>
      <c r="M356" s="52">
        <v>18.75</v>
      </c>
      <c r="N356" t="str">
        <f>+VLOOKUP(D356,'DISPOSITIVOS ACTIVOS'!B:D,3,FALSE)</f>
        <v>Ipad</v>
      </c>
      <c r="O356">
        <f>+VLOOKUP(D356,'DISPOSITIVOS ACTIVOS'!B:G,6,FALSE)</f>
        <v>0</v>
      </c>
      <c r="P356" t="str">
        <f>+VLOOKUP(D356,'DISPOSITIVOS ACTIVOS'!$B$1:$H$299,7,FALSE)</f>
        <v>SALES RITEFILL DSD SOUTH</v>
      </c>
      <c r="Q356" t="str">
        <f>IFERROR(+VLOOKUP(D356,'[1]Migracion feb25 Ver to ATT'!$B:$B,1,FALSE), "NO")</f>
        <v>NO</v>
      </c>
      <c r="R356" s="26">
        <f t="shared" si="10"/>
        <v>25</v>
      </c>
    </row>
    <row r="357" spans="1:18" x14ac:dyDescent="0.3">
      <c r="A357" s="46" t="s">
        <v>22</v>
      </c>
      <c r="B357">
        <v>25</v>
      </c>
      <c r="C357">
        <v>5</v>
      </c>
      <c r="D357" s="36" t="s">
        <v>217</v>
      </c>
      <c r="E357" t="e">
        <f>+VLOOKUP(D357,'DISPOSITIVOS ACTIVOS'!$B:$G,6,FALSE)</f>
        <v>#N/A</v>
      </c>
      <c r="F357" s="47">
        <v>187</v>
      </c>
      <c r="G357" s="47" t="s">
        <v>30</v>
      </c>
      <c r="H357" s="48">
        <v>10</v>
      </c>
      <c r="I357" s="47" t="s">
        <v>30</v>
      </c>
      <c r="J357" s="47" t="s">
        <v>30</v>
      </c>
      <c r="K357" s="47" t="s">
        <v>30</v>
      </c>
      <c r="L357" s="47"/>
      <c r="M357" s="49">
        <v>10</v>
      </c>
      <c r="N357" t="e">
        <f>+VLOOKUP(D357,'DISPOSITIVOS ACTIVOS'!B:D,3,FALSE)</f>
        <v>#N/A</v>
      </c>
      <c r="O357" t="e">
        <f>+VLOOKUP(D357,'DISPOSITIVOS ACTIVOS'!B:G,6,FALSE)</f>
        <v>#N/A</v>
      </c>
      <c r="P357" t="e">
        <f>+VLOOKUP(D357,'DISPOSITIVOS ACTIVOS'!$B$1:$H$299,7,FALSE)</f>
        <v>#N/A</v>
      </c>
      <c r="Q357" t="str">
        <f>IFERROR(+VLOOKUP(D357,'[1]Migracion feb25 Ver to ATT'!$B:$B,1,FALSE), "NO")</f>
        <v>NO</v>
      </c>
      <c r="R357" s="26">
        <f t="shared" si="10"/>
        <v>25</v>
      </c>
    </row>
    <row r="358" spans="1:18" x14ac:dyDescent="0.3">
      <c r="A358" s="46" t="s">
        <v>22</v>
      </c>
      <c r="B358">
        <v>25</v>
      </c>
      <c r="C358">
        <v>5</v>
      </c>
      <c r="D358" s="37" t="s">
        <v>471</v>
      </c>
      <c r="E358" t="str">
        <f>+VLOOKUP(D358,'DISPOSITIVOS ACTIVOS'!$B:$G,6,FALSE)</f>
        <v>VIVAS, REYNA E</v>
      </c>
      <c r="F358" s="50">
        <v>189</v>
      </c>
      <c r="G358" s="50" t="s">
        <v>30</v>
      </c>
      <c r="H358" s="51">
        <v>15</v>
      </c>
      <c r="I358" s="50" t="s">
        <v>30</v>
      </c>
      <c r="J358" s="51">
        <v>3.75</v>
      </c>
      <c r="K358" s="50" t="s">
        <v>30</v>
      </c>
      <c r="L358" s="50"/>
      <c r="M358" s="52">
        <v>18.75</v>
      </c>
      <c r="N358" t="str">
        <f>+VLOOKUP(D358,'DISPOSITIVOS ACTIVOS'!B:D,3,FALSE)</f>
        <v>Ipad</v>
      </c>
      <c r="O358" t="str">
        <f>+VLOOKUP(D358,'DISPOSITIVOS ACTIVOS'!B:G,6,FALSE)</f>
        <v>VIVAS, REYNA E</v>
      </c>
      <c r="P358" t="str">
        <f>+VLOOKUP(D358,'DISPOSITIVOS ACTIVOS'!$B$1:$H$299,7,FALSE)</f>
        <v>SALES RITEFILL DSD WEST</v>
      </c>
      <c r="Q358" t="str">
        <f>IFERROR(+VLOOKUP(D358,'[1]Migracion feb25 Ver to ATT'!$B:$B,1,FALSE), "NO")</f>
        <v>NO</v>
      </c>
      <c r="R358" s="26">
        <f t="shared" si="10"/>
        <v>25</v>
      </c>
    </row>
    <row r="359" spans="1:18" x14ac:dyDescent="0.3">
      <c r="A359" s="46" t="s">
        <v>22</v>
      </c>
      <c r="B359">
        <v>25</v>
      </c>
      <c r="C359">
        <v>5</v>
      </c>
      <c r="D359" s="36" t="s">
        <v>51</v>
      </c>
      <c r="E359" t="str">
        <f>+VLOOKUP(D359,'DISPOSITIVOS ACTIVOS'!$B:$G,6,FALSE)</f>
        <v>LACRUZ, ROSMARY</v>
      </c>
      <c r="F359" s="47">
        <v>191</v>
      </c>
      <c r="G359" s="47" t="s">
        <v>30</v>
      </c>
      <c r="H359" s="48">
        <v>15</v>
      </c>
      <c r="I359" s="47" t="s">
        <v>30</v>
      </c>
      <c r="J359" s="48">
        <v>3.75</v>
      </c>
      <c r="K359" s="47" t="s">
        <v>30</v>
      </c>
      <c r="L359" s="47"/>
      <c r="M359" s="49">
        <v>18.75</v>
      </c>
      <c r="N359" t="str">
        <f>+VLOOKUP(D359,'DISPOSITIVOS ACTIVOS'!B:D,3,FALSE)</f>
        <v>Ipad</v>
      </c>
      <c r="O359" t="str">
        <f>+VLOOKUP(D359,'DISPOSITIVOS ACTIVOS'!B:G,6,FALSE)</f>
        <v>LACRUZ, ROSMARY</v>
      </c>
      <c r="P359" t="str">
        <f>+VLOOKUP(D359,'DISPOSITIVOS ACTIVOS'!$B$1:$H$299,7,FALSE)</f>
        <v>SALES WEST</v>
      </c>
      <c r="Q359" t="str">
        <f>IFERROR(+VLOOKUP(D359,'[1]Migracion feb25 Ver to ATT'!$B:$B,1,FALSE), "NO")</f>
        <v>NO</v>
      </c>
      <c r="R359" s="26">
        <f t="shared" si="10"/>
        <v>25</v>
      </c>
    </row>
    <row r="360" spans="1:18" x14ac:dyDescent="0.3">
      <c r="A360" s="46" t="s">
        <v>22</v>
      </c>
      <c r="B360">
        <v>25</v>
      </c>
      <c r="C360">
        <v>5</v>
      </c>
      <c r="D360" s="37" t="s">
        <v>23</v>
      </c>
      <c r="E360" t="str">
        <f>+VLOOKUP(D360,'DISPOSITIVOS ACTIVOS'!$B:$G,6,FALSE)</f>
        <v>RIVERO, LUIS MARIANO</v>
      </c>
      <c r="F360" s="50">
        <v>193</v>
      </c>
      <c r="G360" s="50" t="s">
        <v>30</v>
      </c>
      <c r="H360" s="51">
        <v>35</v>
      </c>
      <c r="I360" s="51">
        <v>5.99</v>
      </c>
      <c r="J360" s="51">
        <v>4.66</v>
      </c>
      <c r="K360" s="51">
        <v>2.38</v>
      </c>
      <c r="L360" s="50"/>
      <c r="M360" s="52">
        <v>48.03</v>
      </c>
      <c r="N360" t="str">
        <f>+VLOOKUP(D360,'DISPOSITIVOS ACTIVOS'!B:D,3,FALSE)</f>
        <v>Iphone</v>
      </c>
      <c r="O360" t="str">
        <f>+VLOOKUP(D360,'DISPOSITIVOS ACTIVOS'!B:G,6,FALSE)</f>
        <v>RIVERO, LUIS MARIANO</v>
      </c>
      <c r="P360" t="str">
        <f>+VLOOKUP(D360,'DISPOSITIVOS ACTIVOS'!$B$1:$H$299,7,FALSE)</f>
        <v>SALES CENTRAL</v>
      </c>
      <c r="Q360" t="str">
        <f>IFERROR(+VLOOKUP(D360,'[1]Migracion feb25 Ver to ATT'!$B:$B,1,FALSE), "NO")</f>
        <v>NO</v>
      </c>
      <c r="R360" s="26">
        <f t="shared" si="10"/>
        <v>25</v>
      </c>
    </row>
    <row r="361" spans="1:18" x14ac:dyDescent="0.3">
      <c r="A361" s="46" t="s">
        <v>22</v>
      </c>
      <c r="B361">
        <v>25</v>
      </c>
      <c r="C361">
        <v>5</v>
      </c>
      <c r="D361" s="36" t="s">
        <v>58</v>
      </c>
      <c r="E361" t="str">
        <f>+VLOOKUP(D361,'DISPOSITIVOS ACTIVOS'!$B:$G,6,FALSE)</f>
        <v>RIVERO, LUIS MARIANO</v>
      </c>
      <c r="F361" s="47">
        <v>195</v>
      </c>
      <c r="G361" s="47" t="s">
        <v>30</v>
      </c>
      <c r="H361" s="48">
        <v>15</v>
      </c>
      <c r="I361" s="48">
        <v>12.78</v>
      </c>
      <c r="J361" s="48">
        <v>3.75</v>
      </c>
      <c r="K361" s="47" t="s">
        <v>30</v>
      </c>
      <c r="L361" s="47"/>
      <c r="M361" s="49">
        <v>31.53</v>
      </c>
      <c r="N361" t="str">
        <f>+VLOOKUP(D361,'DISPOSITIVOS ACTIVOS'!B:D,3,FALSE)</f>
        <v>Ipad</v>
      </c>
      <c r="O361" t="str">
        <f>+VLOOKUP(D361,'DISPOSITIVOS ACTIVOS'!B:G,6,FALSE)</f>
        <v>RIVERO, LUIS MARIANO</v>
      </c>
      <c r="P361" t="str">
        <f>+VLOOKUP(D361,'DISPOSITIVOS ACTIVOS'!$B$1:$H$299,7,FALSE)</f>
        <v>SALES CENTRAL</v>
      </c>
      <c r="Q361" t="str">
        <f>IFERROR(+VLOOKUP(D361,'[1]Migracion feb25 Ver to ATT'!$B:$B,1,FALSE), "NO")</f>
        <v>NO</v>
      </c>
      <c r="R361" s="26">
        <f t="shared" si="10"/>
        <v>25</v>
      </c>
    </row>
    <row r="362" spans="1:18" x14ac:dyDescent="0.3">
      <c r="A362" s="46" t="s">
        <v>22</v>
      </c>
      <c r="B362">
        <v>25</v>
      </c>
      <c r="C362">
        <v>5</v>
      </c>
      <c r="D362" s="37" t="s">
        <v>25</v>
      </c>
      <c r="E362" t="str">
        <f>+VLOOKUP(D362,'DISPOSITIVOS ACTIVOS'!$B:$G,6,FALSE)</f>
        <v>CALDERON, PILAR ESTRADA</v>
      </c>
      <c r="F362" s="50">
        <v>197</v>
      </c>
      <c r="G362" s="50" t="s">
        <v>30</v>
      </c>
      <c r="H362" s="51">
        <v>35</v>
      </c>
      <c r="I362" s="51">
        <v>5.99</v>
      </c>
      <c r="J362" s="51">
        <v>4.66</v>
      </c>
      <c r="K362" s="51">
        <v>2.38</v>
      </c>
      <c r="L362" s="50"/>
      <c r="M362" s="52">
        <v>48.03</v>
      </c>
      <c r="N362" t="str">
        <f>+VLOOKUP(D362,'DISPOSITIVOS ACTIVOS'!B:D,3,FALSE)</f>
        <v>Iphone</v>
      </c>
      <c r="O362" t="str">
        <f>+VLOOKUP(D362,'DISPOSITIVOS ACTIVOS'!B:G,6,FALSE)</f>
        <v>CALDERON, PILAR ESTRADA</v>
      </c>
      <c r="P362" t="str">
        <f>+VLOOKUP(D362,'DISPOSITIVOS ACTIVOS'!$B$1:$H$299,7,FALSE)</f>
        <v>MERCHANDISER SOUTH</v>
      </c>
      <c r="Q362" t="str">
        <f>IFERROR(+VLOOKUP(D362,'[1]Migracion feb25 Ver to ATT'!$B:$B,1,FALSE), "NO")</f>
        <v>NO</v>
      </c>
      <c r="R362" s="26">
        <f t="shared" si="10"/>
        <v>25</v>
      </c>
    </row>
    <row r="363" spans="1:18" x14ac:dyDescent="0.3">
      <c r="A363" s="46" t="s">
        <v>22</v>
      </c>
      <c r="B363">
        <v>25</v>
      </c>
      <c r="C363">
        <v>5</v>
      </c>
      <c r="D363" s="36" t="s">
        <v>26</v>
      </c>
      <c r="E363" t="str">
        <f>+VLOOKUP(D363,'DISPOSITIVOS ACTIVOS'!$B:$G,6,FALSE)</f>
        <v>GARCIA, RADDY</v>
      </c>
      <c r="F363" s="47">
        <v>199</v>
      </c>
      <c r="G363" s="47" t="s">
        <v>30</v>
      </c>
      <c r="H363" s="48">
        <v>35</v>
      </c>
      <c r="I363" s="48">
        <v>5.99</v>
      </c>
      <c r="J363" s="48">
        <v>4.66</v>
      </c>
      <c r="K363" s="48">
        <v>2.38</v>
      </c>
      <c r="L363" s="47"/>
      <c r="M363" s="49">
        <v>48.03</v>
      </c>
      <c r="N363" t="str">
        <f>+VLOOKUP(D363,'DISPOSITIVOS ACTIVOS'!B:D,3,FALSE)</f>
        <v>Iphone</v>
      </c>
      <c r="O363" t="str">
        <f>+VLOOKUP(D363,'DISPOSITIVOS ACTIVOS'!B:G,6,FALSE)</f>
        <v>GARCIA, RADDY</v>
      </c>
      <c r="P363" t="str">
        <f>+VLOOKUP(D363,'DISPOSITIVOS ACTIVOS'!$B$1:$H$299,7,FALSE)</f>
        <v>SALES NORTH</v>
      </c>
      <c r="Q363" t="str">
        <f>IFERROR(+VLOOKUP(D363,'[1]Migracion feb25 Ver to ATT'!$B:$B,1,FALSE), "NO")</f>
        <v>NO</v>
      </c>
      <c r="R363" s="26">
        <f t="shared" si="10"/>
        <v>25</v>
      </c>
    </row>
    <row r="364" spans="1:18" x14ac:dyDescent="0.3">
      <c r="A364" s="46" t="s">
        <v>22</v>
      </c>
      <c r="B364">
        <v>25</v>
      </c>
      <c r="C364">
        <v>5</v>
      </c>
      <c r="D364" s="37" t="s">
        <v>57</v>
      </c>
      <c r="E364" t="str">
        <f>+VLOOKUP(D364,'DISPOSITIVOS ACTIVOS'!$B:$G,6,FALSE)</f>
        <v>CALDERON, PILAR ESTRADA</v>
      </c>
      <c r="F364" s="50">
        <v>201</v>
      </c>
      <c r="G364" s="50" t="s">
        <v>30</v>
      </c>
      <c r="H364" s="51">
        <v>15</v>
      </c>
      <c r="I364" s="51">
        <v>12.78</v>
      </c>
      <c r="J364" s="51">
        <v>3.75</v>
      </c>
      <c r="K364" s="50" t="s">
        <v>30</v>
      </c>
      <c r="L364" s="50"/>
      <c r="M364" s="52">
        <v>31.53</v>
      </c>
      <c r="N364" t="str">
        <f>+VLOOKUP(D364,'DISPOSITIVOS ACTIVOS'!B:D,3,FALSE)</f>
        <v>Ipad</v>
      </c>
      <c r="O364" t="str">
        <f>+VLOOKUP(D364,'DISPOSITIVOS ACTIVOS'!B:G,6,FALSE)</f>
        <v>CALDERON, PILAR ESTRADA</v>
      </c>
      <c r="P364" t="str">
        <f>+VLOOKUP(D364,'DISPOSITIVOS ACTIVOS'!$B$1:$H$299,7,FALSE)</f>
        <v>MERCHANDISER SOUTH</v>
      </c>
      <c r="Q364" t="str">
        <f>IFERROR(+VLOOKUP(D364,'[1]Migracion feb25 Ver to ATT'!$B:$B,1,FALSE), "NO")</f>
        <v>NO</v>
      </c>
      <c r="R364" s="26">
        <f t="shared" si="10"/>
        <v>25</v>
      </c>
    </row>
    <row r="365" spans="1:18" x14ac:dyDescent="0.3">
      <c r="A365" s="46" t="s">
        <v>22</v>
      </c>
      <c r="B365">
        <v>25</v>
      </c>
      <c r="C365">
        <v>5</v>
      </c>
      <c r="D365" s="36" t="s">
        <v>55</v>
      </c>
      <c r="E365" t="str">
        <f>+VLOOKUP(D365,'DISPOSITIVOS ACTIVOS'!$B:$G,6,FALSE)</f>
        <v>GARCIA, RADDY</v>
      </c>
      <c r="F365" s="47">
        <v>203</v>
      </c>
      <c r="G365" s="47" t="s">
        <v>30</v>
      </c>
      <c r="H365" s="48">
        <v>15</v>
      </c>
      <c r="I365" s="48">
        <v>12.78</v>
      </c>
      <c r="J365" s="48">
        <v>3.75</v>
      </c>
      <c r="K365" s="47" t="s">
        <v>30</v>
      </c>
      <c r="L365" s="47"/>
      <c r="M365" s="49">
        <v>31.53</v>
      </c>
      <c r="N365" t="str">
        <f>+VLOOKUP(D365,'DISPOSITIVOS ACTIVOS'!B:D,3,FALSE)</f>
        <v>Ipad</v>
      </c>
      <c r="O365" t="str">
        <f>+VLOOKUP(D365,'DISPOSITIVOS ACTIVOS'!B:G,6,FALSE)</f>
        <v>GARCIA, RADDY</v>
      </c>
      <c r="P365" t="str">
        <f>+VLOOKUP(D365,'DISPOSITIVOS ACTIVOS'!$B$1:$H$299,7,FALSE)</f>
        <v>SALES NORTH</v>
      </c>
      <c r="Q365" t="str">
        <f>IFERROR(+VLOOKUP(D365,'[1]Migracion feb25 Ver to ATT'!$B:$B,1,FALSE), "NO")</f>
        <v>NO</v>
      </c>
      <c r="R365" s="26">
        <f t="shared" si="10"/>
        <v>25</v>
      </c>
    </row>
    <row r="366" spans="1:18" x14ac:dyDescent="0.3">
      <c r="A366" s="46" t="s">
        <v>22</v>
      </c>
      <c r="B366">
        <v>25</v>
      </c>
      <c r="C366">
        <v>5</v>
      </c>
      <c r="D366" s="37" t="s">
        <v>219</v>
      </c>
      <c r="E366" t="e">
        <f>+VLOOKUP(D366,'DISPOSITIVOS ACTIVOS'!$B:$G,6,FALSE)</f>
        <v>#N/A</v>
      </c>
      <c r="F366" s="50">
        <v>205</v>
      </c>
      <c r="G366" s="50" t="s">
        <v>30</v>
      </c>
      <c r="H366" s="50" t="s">
        <v>30</v>
      </c>
      <c r="I366" s="51">
        <v>5.99</v>
      </c>
      <c r="J366" s="50" t="s">
        <v>30</v>
      </c>
      <c r="K366" s="50" t="s">
        <v>30</v>
      </c>
      <c r="L366" s="50"/>
      <c r="M366" s="52">
        <v>5.99</v>
      </c>
      <c r="N366" t="e">
        <f>+VLOOKUP(D366,'DISPOSITIVOS ACTIVOS'!B:D,3,FALSE)</f>
        <v>#N/A</v>
      </c>
      <c r="O366" t="e">
        <f>+VLOOKUP(D366,'DISPOSITIVOS ACTIVOS'!B:G,6,FALSE)</f>
        <v>#N/A</v>
      </c>
      <c r="P366" t="e">
        <f>+VLOOKUP(D366,'DISPOSITIVOS ACTIVOS'!$B$1:$H$299,7,FALSE)</f>
        <v>#N/A</v>
      </c>
      <c r="Q366" t="str">
        <f>IFERROR(+VLOOKUP(D366,'[1]Migracion feb25 Ver to ATT'!$B:$B,1,FALSE), "NO")</f>
        <v>NO</v>
      </c>
      <c r="R366" s="26">
        <f t="shared" si="10"/>
        <v>25</v>
      </c>
    </row>
    <row r="367" spans="1:18" x14ac:dyDescent="0.3">
      <c r="A367" s="46" t="s">
        <v>22</v>
      </c>
      <c r="B367">
        <v>25</v>
      </c>
      <c r="C367">
        <v>5</v>
      </c>
      <c r="D367" s="36" t="s">
        <v>221</v>
      </c>
      <c r="E367" t="str">
        <f>+VLOOKUP(D367,'DISPOSITIVOS ACTIVOS'!$B:$G,6,FALSE)</f>
        <v>VIVAS, REYNA E</v>
      </c>
      <c r="F367" s="47">
        <v>207</v>
      </c>
      <c r="G367" s="47" t="s">
        <v>30</v>
      </c>
      <c r="H367" s="48">
        <v>35</v>
      </c>
      <c r="I367" s="47" t="s">
        <v>30</v>
      </c>
      <c r="J367" s="48">
        <v>4.66</v>
      </c>
      <c r="K367" s="48">
        <v>2.38</v>
      </c>
      <c r="L367" s="47"/>
      <c r="M367" s="49">
        <v>42.04</v>
      </c>
      <c r="N367">
        <f>+VLOOKUP(D367,'DISPOSITIVOS ACTIVOS'!B:D,3,FALSE)</f>
        <v>0</v>
      </c>
      <c r="O367" t="str">
        <f>+VLOOKUP(D367,'DISPOSITIVOS ACTIVOS'!B:G,6,FALSE)</f>
        <v>VIVAS, REYNA E</v>
      </c>
      <c r="P367" t="str">
        <f>+VLOOKUP(D367,'DISPOSITIVOS ACTIVOS'!$B$1:$H$299,7,FALSE)</f>
        <v>SALES RITEFILL DSD WEST</v>
      </c>
      <c r="Q367" t="str">
        <f>IFERROR(+VLOOKUP(D367,'[1]Migracion feb25 Ver to ATT'!$B:$B,1,FALSE), "NO")</f>
        <v>NO</v>
      </c>
      <c r="R367" s="26">
        <f t="shared" si="10"/>
        <v>25</v>
      </c>
    </row>
    <row r="368" spans="1:18" x14ac:dyDescent="0.3">
      <c r="A368" s="46" t="s">
        <v>22</v>
      </c>
      <c r="B368">
        <v>25</v>
      </c>
      <c r="C368">
        <v>5</v>
      </c>
      <c r="D368" s="37" t="s">
        <v>61</v>
      </c>
      <c r="E368" t="str">
        <f>+VLOOKUP(D368,'DISPOSITIVOS ACTIVOS'!$B:$G,6,FALSE)</f>
        <v>CHANCHAMIRE, RAFAEL A</v>
      </c>
      <c r="F368" s="50">
        <v>209</v>
      </c>
      <c r="G368" s="50" t="s">
        <v>30</v>
      </c>
      <c r="H368" s="51">
        <v>15</v>
      </c>
      <c r="I368" s="50" t="s">
        <v>30</v>
      </c>
      <c r="J368" s="51">
        <v>3.75</v>
      </c>
      <c r="K368" s="50" t="s">
        <v>30</v>
      </c>
      <c r="L368" s="50"/>
      <c r="M368" s="52">
        <v>18.75</v>
      </c>
      <c r="N368" t="str">
        <f>+VLOOKUP(D368,'DISPOSITIVOS ACTIVOS'!B:D,3,FALSE)</f>
        <v>Ipad</v>
      </c>
      <c r="O368" t="str">
        <f>+VLOOKUP(D368,'DISPOSITIVOS ACTIVOS'!B:G,6,FALSE)</f>
        <v>CHANCHAMIRE, RAFAEL A</v>
      </c>
      <c r="P368" t="str">
        <f>+VLOOKUP(D368,'DISPOSITIVOS ACTIVOS'!$B$1:$H$299,7,FALSE)</f>
        <v>SALES WEST</v>
      </c>
      <c r="Q368" t="str">
        <f>IFERROR(+VLOOKUP(D368,'[1]Migracion feb25 Ver to ATT'!$B:$B,1,FALSE), "NO")</f>
        <v>NO</v>
      </c>
      <c r="R368" s="26">
        <f t="shared" si="10"/>
        <v>25</v>
      </c>
    </row>
    <row r="369" spans="1:18" x14ac:dyDescent="0.3">
      <c r="A369" s="46" t="s">
        <v>22</v>
      </c>
      <c r="B369">
        <v>25</v>
      </c>
      <c r="C369">
        <v>5</v>
      </c>
      <c r="D369" s="36" t="s">
        <v>59</v>
      </c>
      <c r="E369" t="str">
        <f>+VLOOKUP(D369,'DISPOSITIVOS ACTIVOS'!$B:$G,6,FALSE)</f>
        <v>SHINE, EDILIA D</v>
      </c>
      <c r="F369" s="47">
        <v>211</v>
      </c>
      <c r="G369" s="47" t="s">
        <v>30</v>
      </c>
      <c r="H369" s="48">
        <v>15</v>
      </c>
      <c r="I369" s="47" t="s">
        <v>30</v>
      </c>
      <c r="J369" s="48">
        <v>3.75</v>
      </c>
      <c r="K369" s="47" t="s">
        <v>30</v>
      </c>
      <c r="L369" s="47"/>
      <c r="M369" s="49">
        <v>18.75</v>
      </c>
      <c r="N369" t="str">
        <f>+VLOOKUP(D369,'DISPOSITIVOS ACTIVOS'!B:D,3,FALSE)</f>
        <v>Ipad</v>
      </c>
      <c r="O369" t="str">
        <f>+VLOOKUP(D369,'DISPOSITIVOS ACTIVOS'!B:G,6,FALSE)</f>
        <v>SHINE, EDILIA D</v>
      </c>
      <c r="P369" t="str">
        <f>+VLOOKUP(D369,'DISPOSITIVOS ACTIVOS'!$B$1:$H$299,7,FALSE)</f>
        <v>SALES NORTH</v>
      </c>
      <c r="Q369" t="str">
        <f>IFERROR(+VLOOKUP(D369,'[1]Migracion feb25 Ver to ATT'!$B:$B,1,FALSE), "NO")</f>
        <v>NO</v>
      </c>
      <c r="R369" s="26">
        <f t="shared" si="10"/>
        <v>25</v>
      </c>
    </row>
    <row r="370" spans="1:18" x14ac:dyDescent="0.3">
      <c r="A370" s="46" t="s">
        <v>22</v>
      </c>
      <c r="B370">
        <v>25</v>
      </c>
      <c r="C370">
        <v>5</v>
      </c>
      <c r="D370" s="37" t="s">
        <v>491</v>
      </c>
      <c r="E370">
        <f>+VLOOKUP(D370,'DISPOSITIVOS ACTIVOS'!$B:$G,6,FALSE)</f>
        <v>0</v>
      </c>
      <c r="F370" s="50">
        <v>213</v>
      </c>
      <c r="G370" s="50" t="s">
        <v>30</v>
      </c>
      <c r="H370" s="51">
        <v>25</v>
      </c>
      <c r="I370" s="50" t="s">
        <v>30</v>
      </c>
      <c r="J370" s="51">
        <v>4.53</v>
      </c>
      <c r="K370" s="51">
        <v>4</v>
      </c>
      <c r="L370" s="50"/>
      <c r="M370" s="52">
        <v>33.53</v>
      </c>
      <c r="N370">
        <f>+VLOOKUP(D370,'DISPOSITIVOS ACTIVOS'!B:D,3,FALSE)</f>
        <v>0</v>
      </c>
      <c r="O370">
        <f>+VLOOKUP(D370,'DISPOSITIVOS ACTIVOS'!B:G,6,FALSE)</f>
        <v>0</v>
      </c>
      <c r="P370" t="str">
        <f>+VLOOKUP(D370,'DISPOSITIVOS ACTIVOS'!$B$1:$H$299,7,FALSE)</f>
        <v>SALES RITEFILL DSD SOUTH</v>
      </c>
      <c r="Q370" t="str">
        <f>IFERROR(+VLOOKUP(D370,'[1]Migracion feb25 Ver to ATT'!$B:$B,1,FALSE), "NO")</f>
        <v>NO</v>
      </c>
      <c r="R370" s="26">
        <f t="shared" si="10"/>
        <v>25</v>
      </c>
    </row>
    <row r="371" spans="1:18" x14ac:dyDescent="0.3">
      <c r="A371" s="46" t="s">
        <v>22</v>
      </c>
      <c r="B371">
        <v>25</v>
      </c>
      <c r="C371">
        <v>5</v>
      </c>
      <c r="D371" s="36" t="s">
        <v>28</v>
      </c>
      <c r="E371" t="str">
        <f>+VLOOKUP(D371,'DISPOSITIVOS ACTIVOS'!$B:$G,6,FALSE)</f>
        <v>IPAD SALES</v>
      </c>
      <c r="F371" s="47">
        <v>215</v>
      </c>
      <c r="G371" s="47" t="s">
        <v>30</v>
      </c>
      <c r="H371" s="48">
        <v>15</v>
      </c>
      <c r="I371" s="47" t="s">
        <v>30</v>
      </c>
      <c r="J371" s="48">
        <v>3.75</v>
      </c>
      <c r="K371" s="47" t="s">
        <v>30</v>
      </c>
      <c r="L371" s="47"/>
      <c r="M371" s="49">
        <v>18.75</v>
      </c>
      <c r="N371" t="str">
        <f>+VLOOKUP(D371,'DISPOSITIVOS ACTIVOS'!B:D,3,FALSE)</f>
        <v>no aplica</v>
      </c>
      <c r="O371" t="str">
        <f>+VLOOKUP(D371,'DISPOSITIVOS ACTIVOS'!B:G,6,FALSE)</f>
        <v>IPAD SALES</v>
      </c>
      <c r="P371" t="str">
        <f>+VLOOKUP(D371,'DISPOSITIVOS ACTIVOS'!$B$1:$H$299,7,FALSE)</f>
        <v>ATLANTA</v>
      </c>
      <c r="Q371" t="str">
        <f>IFERROR(+VLOOKUP(D371,'[1]Migracion feb25 Ver to ATT'!$B:$B,1,FALSE), "NO")</f>
        <v>NO</v>
      </c>
      <c r="R371" s="26">
        <f t="shared" si="10"/>
        <v>25</v>
      </c>
    </row>
    <row r="372" spans="1:18" x14ac:dyDescent="0.3">
      <c r="A372" s="46" t="s">
        <v>22</v>
      </c>
      <c r="B372">
        <v>25</v>
      </c>
      <c r="C372">
        <v>5</v>
      </c>
      <c r="D372" s="37" t="s">
        <v>223</v>
      </c>
      <c r="E372" t="str">
        <f>+VLOOKUP(D372,'DISPOSITIVOS ACTIVOS'!$B:$G,6,FALSE)</f>
        <v>GABRIEL ABOUK...</v>
      </c>
      <c r="F372" s="50">
        <v>217</v>
      </c>
      <c r="G372" s="50" t="s">
        <v>30</v>
      </c>
      <c r="H372" s="51">
        <v>35</v>
      </c>
      <c r="I372" s="50" t="s">
        <v>30</v>
      </c>
      <c r="J372" s="51">
        <v>4.66</v>
      </c>
      <c r="K372" s="51">
        <v>2.2400000000000002</v>
      </c>
      <c r="L372" s="50"/>
      <c r="M372" s="52">
        <v>41.9</v>
      </c>
      <c r="N372" t="str">
        <f>+VLOOKUP(D372,'DISPOSITIVOS ACTIVOS'!B:D,3,FALSE)</f>
        <v>no aplica</v>
      </c>
      <c r="O372" t="str">
        <f>+VLOOKUP(D372,'DISPOSITIVOS ACTIVOS'!B:G,6,FALSE)</f>
        <v>GABRIEL ABOUK...</v>
      </c>
      <c r="P372" t="str">
        <f>+VLOOKUP(D372,'DISPOSITIVOS ACTIVOS'!$B$1:$H$299,7,FALSE)</f>
        <v>ATLANTA</v>
      </c>
      <c r="Q372" t="str">
        <f>IFERROR(+VLOOKUP(D372,'[1]Migracion feb25 Ver to ATT'!$B:$B,1,FALSE), "NO")</f>
        <v>NO</v>
      </c>
      <c r="R372" s="26">
        <f t="shared" si="10"/>
        <v>25</v>
      </c>
    </row>
    <row r="373" spans="1:18" x14ac:dyDescent="0.3">
      <c r="A373" s="46" t="s">
        <v>22</v>
      </c>
      <c r="B373">
        <v>25</v>
      </c>
      <c r="C373">
        <v>5</v>
      </c>
      <c r="D373" s="36" t="s">
        <v>225</v>
      </c>
      <c r="E373" t="str">
        <f>+VLOOKUP(D373,'DISPOSITIVOS ACTIVOS'!$B:$G,6,FALSE)</f>
        <v>GUSTAVO MORILLO</v>
      </c>
      <c r="F373" s="47">
        <v>219</v>
      </c>
      <c r="G373" s="47" t="s">
        <v>30</v>
      </c>
      <c r="H373" s="48">
        <v>35</v>
      </c>
      <c r="I373" s="47" t="s">
        <v>30</v>
      </c>
      <c r="J373" s="48">
        <v>4.66</v>
      </c>
      <c r="K373" s="48">
        <v>2.2400000000000002</v>
      </c>
      <c r="L373" s="47"/>
      <c r="M373" s="49">
        <v>41.9</v>
      </c>
      <c r="N373" t="str">
        <f>+VLOOKUP(D373,'DISPOSITIVOS ACTIVOS'!B:D,3,FALSE)</f>
        <v>no aplica</v>
      </c>
      <c r="O373" t="str">
        <f>+VLOOKUP(D373,'DISPOSITIVOS ACTIVOS'!B:G,6,FALSE)</f>
        <v>GUSTAVO MORILLO</v>
      </c>
      <c r="P373" t="str">
        <f>+VLOOKUP(D373,'DISPOSITIVOS ACTIVOS'!$B$1:$H$299,7,FALSE)</f>
        <v>ATLANTA</v>
      </c>
      <c r="Q373" t="str">
        <f>IFERROR(+VLOOKUP(D373,'[1]Migracion feb25 Ver to ATT'!$B:$B,1,FALSE), "NO")</f>
        <v>NO</v>
      </c>
      <c r="R373" s="26">
        <f t="shared" si="10"/>
        <v>25</v>
      </c>
    </row>
    <row r="374" spans="1:18" x14ac:dyDescent="0.3">
      <c r="A374" s="46" t="s">
        <v>22</v>
      </c>
      <c r="B374">
        <v>25</v>
      </c>
      <c r="C374">
        <v>5</v>
      </c>
      <c r="D374" s="37" t="s">
        <v>227</v>
      </c>
      <c r="E374" t="str">
        <f>+VLOOKUP(D374,'DISPOSITIVOS ACTIVOS'!$B:$G,6,FALSE)</f>
        <v>ROSALINA SOCORRO</v>
      </c>
      <c r="F374" s="50">
        <v>221</v>
      </c>
      <c r="G374" s="50" t="s">
        <v>30</v>
      </c>
      <c r="H374" s="51">
        <v>35</v>
      </c>
      <c r="I374" s="50" t="s">
        <v>30</v>
      </c>
      <c r="J374" s="51">
        <v>4.66</v>
      </c>
      <c r="K374" s="51">
        <v>2.2400000000000002</v>
      </c>
      <c r="L374" s="50"/>
      <c r="M374" s="52">
        <v>41.9</v>
      </c>
      <c r="N374" t="str">
        <f>+VLOOKUP(D374,'DISPOSITIVOS ACTIVOS'!B:D,3,FALSE)</f>
        <v>no aplica</v>
      </c>
      <c r="O374" t="str">
        <f>+VLOOKUP(D374,'DISPOSITIVOS ACTIVOS'!B:G,6,FALSE)</f>
        <v>ROSALINA SOCORRO</v>
      </c>
      <c r="P374" t="str">
        <f>+VLOOKUP(D374,'DISPOSITIVOS ACTIVOS'!$B$1:$H$299,7,FALSE)</f>
        <v>ATLANTA</v>
      </c>
      <c r="Q374" t="str">
        <f>IFERROR(+VLOOKUP(D374,'[1]Migracion feb25 Ver to ATT'!$B:$B,1,FALSE), "NO")</f>
        <v>NO</v>
      </c>
      <c r="R374" s="26">
        <f t="shared" si="10"/>
        <v>25</v>
      </c>
    </row>
    <row r="375" spans="1:18" x14ac:dyDescent="0.3">
      <c r="A375" s="46" t="s">
        <v>22</v>
      </c>
      <c r="B375">
        <v>25</v>
      </c>
      <c r="C375">
        <v>5</v>
      </c>
      <c r="D375" s="36" t="s">
        <v>31</v>
      </c>
      <c r="E375" t="str">
        <f>+VLOOKUP(D375,'DISPOSITIVOS ACTIVOS'!$B:$G,6,FALSE)</f>
        <v>IPAD SALES</v>
      </c>
      <c r="F375" s="47">
        <v>223</v>
      </c>
      <c r="G375" s="47" t="s">
        <v>30</v>
      </c>
      <c r="H375" s="48">
        <v>15</v>
      </c>
      <c r="I375" s="47" t="s">
        <v>30</v>
      </c>
      <c r="J375" s="48">
        <v>3.75</v>
      </c>
      <c r="K375" s="47" t="s">
        <v>30</v>
      </c>
      <c r="L375" s="47"/>
      <c r="M375" s="49">
        <v>18.75</v>
      </c>
      <c r="N375" t="str">
        <f>+VLOOKUP(D375,'DISPOSITIVOS ACTIVOS'!B:D,3,FALSE)</f>
        <v>no aplica</v>
      </c>
      <c r="O375" t="str">
        <f>+VLOOKUP(D375,'DISPOSITIVOS ACTIVOS'!B:G,6,FALSE)</f>
        <v>IPAD SALES</v>
      </c>
      <c r="P375" t="str">
        <f>+VLOOKUP(D375,'DISPOSITIVOS ACTIVOS'!$B$1:$H$299,7,FALSE)</f>
        <v>ATLANTA</v>
      </c>
      <c r="Q375" t="str">
        <f>IFERROR(+VLOOKUP(D375,'[1]Migracion feb25 Ver to ATT'!$B:$B,1,FALSE), "NO")</f>
        <v>NO</v>
      </c>
      <c r="R375" s="26">
        <f t="shared" si="10"/>
        <v>25</v>
      </c>
    </row>
    <row r="376" spans="1:18" x14ac:dyDescent="0.3">
      <c r="A376" s="46" t="s">
        <v>22</v>
      </c>
      <c r="B376">
        <v>25</v>
      </c>
      <c r="C376">
        <v>5</v>
      </c>
      <c r="D376" s="37" t="s">
        <v>229</v>
      </c>
      <c r="E376" t="str">
        <f>+VLOOKUP(D376,'DISPOSITIVOS ACTIVOS'!$B:$G,6,FALSE)</f>
        <v>ABIGAIL QUINTERO</v>
      </c>
      <c r="F376" s="50">
        <v>225</v>
      </c>
      <c r="G376" s="50" t="s">
        <v>30</v>
      </c>
      <c r="H376" s="51">
        <v>35</v>
      </c>
      <c r="I376" s="50" t="s">
        <v>30</v>
      </c>
      <c r="J376" s="51">
        <v>4.66</v>
      </c>
      <c r="K376" s="51">
        <v>2.2400000000000002</v>
      </c>
      <c r="L376" s="50"/>
      <c r="M376" s="52">
        <v>41.9</v>
      </c>
      <c r="N376" t="str">
        <f>+VLOOKUP(D376,'DISPOSITIVOS ACTIVOS'!B:D,3,FALSE)</f>
        <v>no aplica</v>
      </c>
      <c r="O376" t="str">
        <f>+VLOOKUP(D376,'DISPOSITIVOS ACTIVOS'!B:G,6,FALSE)</f>
        <v>ABIGAIL QUINTERO</v>
      </c>
      <c r="P376" t="str">
        <f>+VLOOKUP(D376,'DISPOSITIVOS ACTIVOS'!$B$1:$H$299,7,FALSE)</f>
        <v>ATLANTA</v>
      </c>
      <c r="Q376" t="str">
        <f>IFERROR(+VLOOKUP(D376,'[1]Migracion feb25 Ver to ATT'!$B:$B,1,FALSE), "NO")</f>
        <v>NO</v>
      </c>
      <c r="R376" s="26">
        <f t="shared" si="10"/>
        <v>25</v>
      </c>
    </row>
    <row r="377" spans="1:18" x14ac:dyDescent="0.3">
      <c r="A377" s="46" t="s">
        <v>22</v>
      </c>
      <c r="B377">
        <v>25</v>
      </c>
      <c r="C377">
        <v>5</v>
      </c>
      <c r="D377" s="36" t="s">
        <v>32</v>
      </c>
      <c r="E377" t="str">
        <f>+VLOOKUP(D377,'DISPOSITIVOS ACTIVOS'!$B:$G,6,FALSE)</f>
        <v>IPAD SALES</v>
      </c>
      <c r="F377" s="47">
        <v>227</v>
      </c>
      <c r="G377" s="47" t="s">
        <v>30</v>
      </c>
      <c r="H377" s="48">
        <v>15</v>
      </c>
      <c r="I377" s="47" t="s">
        <v>30</v>
      </c>
      <c r="J377" s="48">
        <v>3.75</v>
      </c>
      <c r="K377" s="47" t="s">
        <v>30</v>
      </c>
      <c r="L377" s="47"/>
      <c r="M377" s="49">
        <v>18.75</v>
      </c>
      <c r="N377" t="str">
        <f>+VLOOKUP(D377,'DISPOSITIVOS ACTIVOS'!B:D,3,FALSE)</f>
        <v>no aplica</v>
      </c>
      <c r="O377" t="str">
        <f>+VLOOKUP(D377,'DISPOSITIVOS ACTIVOS'!B:G,6,FALSE)</f>
        <v>IPAD SALES</v>
      </c>
      <c r="P377" t="str">
        <f>+VLOOKUP(D377,'DISPOSITIVOS ACTIVOS'!$B$1:$H$299,7,FALSE)</f>
        <v>ATLANTA</v>
      </c>
      <c r="Q377" t="str">
        <f>IFERROR(+VLOOKUP(D377,'[1]Migracion feb25 Ver to ATT'!$B:$B,1,FALSE), "NO")</f>
        <v>NO</v>
      </c>
      <c r="R377" s="26">
        <f t="shared" si="10"/>
        <v>25</v>
      </c>
    </row>
    <row r="378" spans="1:18" x14ac:dyDescent="0.3">
      <c r="A378" s="46" t="s">
        <v>22</v>
      </c>
      <c r="B378">
        <v>25</v>
      </c>
      <c r="C378">
        <v>5</v>
      </c>
      <c r="D378" s="37" t="s">
        <v>233</v>
      </c>
      <c r="E378" t="str">
        <f>+VLOOKUP(D378,'DISPOSITIVOS ACTIVOS'!$B:$G,6,FALSE)</f>
        <v>ROJAS, FABIOLA V</v>
      </c>
      <c r="F378" s="50">
        <v>229</v>
      </c>
      <c r="G378" s="50" t="s">
        <v>30</v>
      </c>
      <c r="H378" s="51">
        <v>35</v>
      </c>
      <c r="I378" s="51">
        <v>5</v>
      </c>
      <c r="J378" s="51">
        <v>4.66</v>
      </c>
      <c r="K378" s="51">
        <v>2.38</v>
      </c>
      <c r="L378" s="50"/>
      <c r="M378" s="52">
        <v>47.04</v>
      </c>
      <c r="N378" t="str">
        <f>+VLOOKUP(D378,'DISPOSITIVOS ACTIVOS'!B:D,3,FALSE)</f>
        <v>Iphone</v>
      </c>
      <c r="O378" t="str">
        <f>+VLOOKUP(D378,'DISPOSITIVOS ACTIVOS'!B:G,6,FALSE)</f>
        <v>ROJAS, FABIOLA V</v>
      </c>
      <c r="P378" t="str">
        <f>+VLOOKUP(D378,'DISPOSITIVOS ACTIVOS'!$B$1:$H$299,7,FALSE)</f>
        <v>MERCHANDISER CENTRAL</v>
      </c>
      <c r="Q378" t="str">
        <f>IFERROR(+VLOOKUP(D378,'[1]Migracion feb25 Ver to ATT'!$B:$B,1,FALSE), "NO")</f>
        <v>NO</v>
      </c>
      <c r="R378" s="26">
        <f t="shared" si="10"/>
        <v>25</v>
      </c>
    </row>
    <row r="379" spans="1:18" x14ac:dyDescent="0.3">
      <c r="A379" s="46" t="s">
        <v>22</v>
      </c>
      <c r="B379">
        <v>25</v>
      </c>
      <c r="C379">
        <v>5</v>
      </c>
      <c r="D379" s="36" t="s">
        <v>235</v>
      </c>
      <c r="E379" t="str">
        <f>+VLOOKUP(D379,'DISPOSITIVOS ACTIVOS'!$B:$G,6,FALSE)</f>
        <v>VELIZ, CARLOS A</v>
      </c>
      <c r="F379" s="47">
        <v>231</v>
      </c>
      <c r="G379" s="47" t="s">
        <v>30</v>
      </c>
      <c r="H379" s="48">
        <v>35</v>
      </c>
      <c r="I379" s="47" t="s">
        <v>30</v>
      </c>
      <c r="J379" s="48">
        <v>4.66</v>
      </c>
      <c r="K379" s="48">
        <v>2.38</v>
      </c>
      <c r="L379" s="47"/>
      <c r="M379" s="49">
        <v>42.04</v>
      </c>
      <c r="N379" t="str">
        <f>+VLOOKUP(D379,'DISPOSITIVOS ACTIVOS'!B:D,3,FALSE)</f>
        <v>Iphone</v>
      </c>
      <c r="O379" t="str">
        <f>+VLOOKUP(D379,'DISPOSITIVOS ACTIVOS'!B:G,6,FALSE)</f>
        <v>VELIZ, CARLOS A</v>
      </c>
      <c r="P379" t="str">
        <f>+VLOOKUP(D379,'DISPOSITIVOS ACTIVOS'!$B$1:$H$299,7,FALSE)</f>
        <v>SALES CENTRAL</v>
      </c>
      <c r="Q379" t="str">
        <f>IFERROR(+VLOOKUP(D379,'[1]Migracion feb25 Ver to ATT'!$B:$B,1,FALSE), "NO")</f>
        <v>865-396-3526</v>
      </c>
      <c r="R379" s="26">
        <f t="shared" si="10"/>
        <v>15</v>
      </c>
    </row>
    <row r="380" spans="1:18" x14ac:dyDescent="0.3">
      <c r="A380" s="46" t="s">
        <v>22</v>
      </c>
      <c r="B380">
        <v>25</v>
      </c>
      <c r="C380">
        <v>5</v>
      </c>
      <c r="D380" s="37" t="s">
        <v>237</v>
      </c>
      <c r="E380" t="str">
        <f>+VLOOKUP(D380,'DISPOSITIVOS ACTIVOS'!$B:$G,6,FALSE)</f>
        <v>VELIZ, CARLOS A</v>
      </c>
      <c r="F380" s="50">
        <v>233</v>
      </c>
      <c r="G380" s="50" t="s">
        <v>30</v>
      </c>
      <c r="H380" s="51">
        <v>15</v>
      </c>
      <c r="I380" s="50" t="s">
        <v>30</v>
      </c>
      <c r="J380" s="51">
        <v>3.75</v>
      </c>
      <c r="K380" s="50" t="s">
        <v>30</v>
      </c>
      <c r="L380" s="50"/>
      <c r="M380" s="52">
        <v>18.75</v>
      </c>
      <c r="N380" t="str">
        <f>+VLOOKUP(D380,'DISPOSITIVOS ACTIVOS'!B:D,3,FALSE)</f>
        <v>Ipad</v>
      </c>
      <c r="O380" t="str">
        <f>+VLOOKUP(D380,'DISPOSITIVOS ACTIVOS'!B:G,6,FALSE)</f>
        <v>VELIZ, CARLOS A</v>
      </c>
      <c r="P380" t="str">
        <f>+VLOOKUP(D380,'DISPOSITIVOS ACTIVOS'!$B$1:$H$299,7,FALSE)</f>
        <v>SALES CENTRAL</v>
      </c>
      <c r="Q380" t="str">
        <f>IFERROR(+VLOOKUP(D380,'[1]Migracion feb25 Ver to ATT'!$B:$B,1,FALSE), "NO")</f>
        <v>NO</v>
      </c>
      <c r="R380" s="26">
        <f t="shared" si="10"/>
        <v>25</v>
      </c>
    </row>
    <row r="381" spans="1:18" x14ac:dyDescent="0.3">
      <c r="A381" s="46" t="s">
        <v>22</v>
      </c>
      <c r="B381">
        <v>25</v>
      </c>
      <c r="C381">
        <v>5</v>
      </c>
      <c r="D381" s="36" t="s">
        <v>239</v>
      </c>
      <c r="E381" t="str">
        <f>+VLOOKUP(D381,'DISPOSITIVOS ACTIVOS'!$B:$G,6,FALSE)</f>
        <v>RODRIGUEZ, VERUUZKO</v>
      </c>
      <c r="F381" s="47">
        <v>235</v>
      </c>
      <c r="G381" s="47" t="s">
        <v>30</v>
      </c>
      <c r="H381" s="48">
        <v>35</v>
      </c>
      <c r="I381" s="47" t="s">
        <v>30</v>
      </c>
      <c r="J381" s="48">
        <v>4.66</v>
      </c>
      <c r="K381" s="48">
        <v>2.38</v>
      </c>
      <c r="L381" s="47"/>
      <c r="M381" s="49">
        <v>42.04</v>
      </c>
      <c r="N381" t="str">
        <f>+VLOOKUP(D381,'DISPOSITIVOS ACTIVOS'!B:D,3,FALSE)</f>
        <v>Iphone</v>
      </c>
      <c r="O381" t="str">
        <f>+VLOOKUP(D381,'DISPOSITIVOS ACTIVOS'!B:G,6,FALSE)</f>
        <v>RODRIGUEZ, VERUUZKO</v>
      </c>
      <c r="P381" t="str">
        <f>+VLOOKUP(D381,'DISPOSITIVOS ACTIVOS'!$B$1:$H$299,7,FALSE)</f>
        <v>SALES CENTRAL</v>
      </c>
      <c r="Q381" t="str">
        <f>IFERROR(+VLOOKUP(D381,'[1]Migracion feb25 Ver to ATT'!$B:$B,1,FALSE), "NO")</f>
        <v>901-275-5428</v>
      </c>
      <c r="R381" s="26">
        <f t="shared" si="10"/>
        <v>15</v>
      </c>
    </row>
    <row r="382" spans="1:18" x14ac:dyDescent="0.3">
      <c r="A382" s="46" t="s">
        <v>22</v>
      </c>
      <c r="B382">
        <v>25</v>
      </c>
      <c r="C382">
        <v>5</v>
      </c>
      <c r="D382" s="37" t="s">
        <v>241</v>
      </c>
      <c r="E382" t="str">
        <f>+VLOOKUP(D382,'DISPOSITIVOS ACTIVOS'!$B:$G,6,FALSE)</f>
        <v>RODRIGUEZ SR, CHRISTIAN MICHEAL</v>
      </c>
      <c r="F382" s="50">
        <v>237</v>
      </c>
      <c r="G382" s="50" t="s">
        <v>30</v>
      </c>
      <c r="H382" s="51">
        <v>35</v>
      </c>
      <c r="I382" s="50" t="s">
        <v>30</v>
      </c>
      <c r="J382" s="51">
        <v>4.66</v>
      </c>
      <c r="K382" s="51">
        <v>2.38</v>
      </c>
      <c r="L382" s="50"/>
      <c r="M382" s="52">
        <v>42.04</v>
      </c>
      <c r="N382" t="str">
        <f>+VLOOKUP(D382,'DISPOSITIVOS ACTIVOS'!B:D,3,FALSE)</f>
        <v>Galaxy</v>
      </c>
      <c r="O382" t="str">
        <f>+VLOOKUP(D382,'DISPOSITIVOS ACTIVOS'!B:G,6,FALSE)</f>
        <v>RODRIGUEZ SR, CHRISTIAN MICHEAL</v>
      </c>
      <c r="P382" t="str">
        <f>+VLOOKUP(D382,'DISPOSITIVOS ACTIVOS'!$B$1:$H$299,7,FALSE)</f>
        <v>LOGISTIC SOUTH</v>
      </c>
      <c r="Q382" t="str">
        <f>IFERROR(+VLOOKUP(D382,'[1]Migracion feb25 Ver to ATT'!$B:$B,1,FALSE), "NO")</f>
        <v>NO</v>
      </c>
      <c r="R382" s="26">
        <f t="shared" si="10"/>
        <v>25</v>
      </c>
    </row>
    <row r="383" spans="1:18" x14ac:dyDescent="0.3">
      <c r="A383" s="46" t="s">
        <v>22</v>
      </c>
      <c r="B383">
        <v>25</v>
      </c>
      <c r="C383">
        <v>5</v>
      </c>
      <c r="D383" s="36" t="s">
        <v>243</v>
      </c>
      <c r="E383" t="str">
        <f>+VLOOKUP(D383,'DISPOSITIVOS ACTIVOS'!$B:$G,6,FALSE)</f>
        <v>SUAREZ, ANDRES E</v>
      </c>
      <c r="F383" s="47">
        <v>239</v>
      </c>
      <c r="G383" s="47" t="s">
        <v>30</v>
      </c>
      <c r="H383" s="48">
        <v>35</v>
      </c>
      <c r="I383" s="47" t="s">
        <v>30</v>
      </c>
      <c r="J383" s="48">
        <v>4.66</v>
      </c>
      <c r="K383" s="48">
        <v>2.38</v>
      </c>
      <c r="L383" s="47"/>
      <c r="M383" s="49">
        <v>42.04</v>
      </c>
      <c r="N383" t="str">
        <f>+VLOOKUP(D383,'DISPOSITIVOS ACTIVOS'!B:D,3,FALSE)</f>
        <v xml:space="preserve">Galaxy </v>
      </c>
      <c r="O383" t="str">
        <f>+VLOOKUP(D383,'DISPOSITIVOS ACTIVOS'!B:G,6,FALSE)</f>
        <v>SUAREZ, ANDRES E</v>
      </c>
      <c r="P383" t="str">
        <f>+VLOOKUP(D383,'DISPOSITIVOS ACTIVOS'!$B$1:$H$299,7,FALSE)</f>
        <v>LOGISTICS CENTRAL</v>
      </c>
      <c r="Q383" t="str">
        <f>IFERROR(+VLOOKUP(D383,'[1]Migracion feb25 Ver to ATT'!$B:$B,1,FALSE), "NO")</f>
        <v>901-427-2093</v>
      </c>
      <c r="R383" s="26">
        <f t="shared" si="10"/>
        <v>15</v>
      </c>
    </row>
    <row r="384" spans="1:18" x14ac:dyDescent="0.3">
      <c r="A384" s="60" t="s">
        <v>22</v>
      </c>
      <c r="B384" s="14">
        <v>25</v>
      </c>
      <c r="C384" s="14">
        <v>5</v>
      </c>
      <c r="D384" s="61" t="s">
        <v>245</v>
      </c>
      <c r="E384" s="14" t="e">
        <f>+VLOOKUP(D384,'DISPOSITIVOS ACTIVOS'!$B:$G,6,FALSE)</f>
        <v>#N/A</v>
      </c>
      <c r="F384" s="62">
        <v>241</v>
      </c>
      <c r="G384" s="62" t="s">
        <v>30</v>
      </c>
      <c r="H384" s="62"/>
      <c r="I384" s="63">
        <v>5</v>
      </c>
      <c r="J384" s="62" t="s">
        <v>30</v>
      </c>
      <c r="K384" s="62" t="s">
        <v>30</v>
      </c>
      <c r="L384" s="62"/>
      <c r="M384" s="64">
        <v>5</v>
      </c>
      <c r="N384" s="14" t="e">
        <f>+VLOOKUP(D384,'DISPOSITIVOS ACTIVOS'!B:D,3,FALSE)</f>
        <v>#N/A</v>
      </c>
      <c r="O384" s="14" t="e">
        <f>+VLOOKUP(D384,'DISPOSITIVOS ACTIVOS'!B:G,6,FALSE)</f>
        <v>#N/A</v>
      </c>
      <c r="P384" s="14" t="e">
        <f>+VLOOKUP(D384,'DISPOSITIVOS ACTIVOS'!$B$1:$H$299,7,FALSE)</f>
        <v>#N/A</v>
      </c>
      <c r="Q384" s="14" t="str">
        <f>IFERROR(+VLOOKUP(D384,'[1]Migracion feb25 Ver to ATT'!$B:$B,1,FALSE), "NO")</f>
        <v>NO</v>
      </c>
      <c r="R384" s="65">
        <f t="shared" si="10"/>
        <v>25</v>
      </c>
    </row>
    <row r="385" spans="1:18" x14ac:dyDescent="0.3">
      <c r="A385" s="46" t="s">
        <v>22</v>
      </c>
      <c r="B385">
        <v>25</v>
      </c>
      <c r="C385">
        <v>5</v>
      </c>
      <c r="D385" s="36" t="s">
        <v>33</v>
      </c>
      <c r="E385" t="str">
        <f>+VLOOKUP(D385,'DISPOSITIVOS ACTIVOS'!$B:$G,6,FALSE)</f>
        <v>MADRIGAL GARCIA, HELEN C</v>
      </c>
      <c r="F385" s="47">
        <v>243</v>
      </c>
      <c r="G385" s="47" t="s">
        <v>30</v>
      </c>
      <c r="H385" s="48">
        <v>35</v>
      </c>
      <c r="I385" s="48">
        <v>-0.79</v>
      </c>
      <c r="J385" s="48">
        <v>4.66</v>
      </c>
      <c r="K385" s="48">
        <v>2.38</v>
      </c>
      <c r="L385" s="47"/>
      <c r="M385" s="49">
        <v>41.25</v>
      </c>
      <c r="N385" t="str">
        <f>+VLOOKUP(D385,'DISPOSITIVOS ACTIVOS'!B:D,3,FALSE)</f>
        <v>Iphone</v>
      </c>
      <c r="O385" t="str">
        <f>+VLOOKUP(D385,'DISPOSITIVOS ACTIVOS'!B:G,6,FALSE)</f>
        <v>MADRIGAL GARCIA, HELEN C</v>
      </c>
      <c r="P385" t="str">
        <f>+VLOOKUP(D385,'DISPOSITIVOS ACTIVOS'!$B$1:$H$299,7,FALSE)</f>
        <v>SALES NORTH</v>
      </c>
      <c r="Q385" t="str">
        <f>IFERROR(+VLOOKUP(D385,'[1]Migracion feb25 Ver to ATT'!$B:$B,1,FALSE), "NO")</f>
        <v>NO</v>
      </c>
      <c r="R385" s="26">
        <f t="shared" si="10"/>
        <v>25</v>
      </c>
    </row>
    <row r="386" spans="1:18" x14ac:dyDescent="0.3">
      <c r="A386" s="46" t="s">
        <v>22</v>
      </c>
      <c r="B386">
        <v>25</v>
      </c>
      <c r="C386">
        <v>5</v>
      </c>
      <c r="D386" s="37" t="s">
        <v>53</v>
      </c>
      <c r="E386" t="str">
        <f>+VLOOKUP(D386,'DISPOSITIVOS ACTIVOS'!$B:$G,6,FALSE)</f>
        <v>MADRIGAL GARCIA, HELEN C</v>
      </c>
      <c r="F386" s="50">
        <v>245</v>
      </c>
      <c r="G386" s="50" t="s">
        <v>30</v>
      </c>
      <c r="H386" s="51">
        <v>15</v>
      </c>
      <c r="I386" s="50" t="s">
        <v>30</v>
      </c>
      <c r="J386" s="51">
        <v>3.75</v>
      </c>
      <c r="K386" s="50" t="s">
        <v>30</v>
      </c>
      <c r="L386" s="50"/>
      <c r="M386" s="52">
        <v>18.75</v>
      </c>
      <c r="N386" t="str">
        <f>+VLOOKUP(D386,'DISPOSITIVOS ACTIVOS'!B:D,3,FALSE)</f>
        <v>Ipad</v>
      </c>
      <c r="O386" t="str">
        <f>+VLOOKUP(D386,'DISPOSITIVOS ACTIVOS'!B:G,6,FALSE)</f>
        <v>MADRIGAL GARCIA, HELEN C</v>
      </c>
      <c r="P386" t="str">
        <f>+VLOOKUP(D386,'DISPOSITIVOS ACTIVOS'!$B$1:$H$299,7,FALSE)</f>
        <v>SALES NORTH</v>
      </c>
      <c r="Q386" t="str">
        <f>IFERROR(+VLOOKUP(D386,'[1]Migracion feb25 Ver to ATT'!$B:$B,1,FALSE), "NO")</f>
        <v>NO</v>
      </c>
      <c r="R386" s="26">
        <f t="shared" si="10"/>
        <v>25</v>
      </c>
    </row>
    <row r="387" spans="1:18" x14ac:dyDescent="0.3">
      <c r="A387" s="46" t="s">
        <v>22</v>
      </c>
      <c r="B387">
        <v>25</v>
      </c>
      <c r="C387">
        <v>5</v>
      </c>
      <c r="D387" s="36" t="s">
        <v>247</v>
      </c>
      <c r="E387" t="str">
        <f>+VLOOKUP(D387,'DISPOSITIVOS ACTIVOS'!$B:$G,6,FALSE)</f>
        <v>RODRIGUEZ MELENDEZ, CESAR ANIBAL</v>
      </c>
      <c r="F387" s="47">
        <v>247</v>
      </c>
      <c r="G387" s="47" t="s">
        <v>30</v>
      </c>
      <c r="H387" s="48">
        <v>35</v>
      </c>
      <c r="I387" s="47" t="s">
        <v>30</v>
      </c>
      <c r="J387" s="48">
        <v>4.66</v>
      </c>
      <c r="K387" s="48">
        <v>2.38</v>
      </c>
      <c r="L387" s="47"/>
      <c r="M387" s="49">
        <v>42.04</v>
      </c>
      <c r="N387" t="str">
        <f>+VLOOKUP(D387,'DISPOSITIVOS ACTIVOS'!B:D,3,FALSE)</f>
        <v xml:space="preserve">Galaxy </v>
      </c>
      <c r="O387" t="str">
        <f>+VLOOKUP(D387,'DISPOSITIVOS ACTIVOS'!B:G,6,FALSE)</f>
        <v>RODRIGUEZ MELENDEZ, CESAR ANIBAL</v>
      </c>
      <c r="P387" t="str">
        <f>+VLOOKUP(D387,'DISPOSITIVOS ACTIVOS'!$B$1:$H$299,7,FALSE)</f>
        <v>LOGISTICS NORTH</v>
      </c>
      <c r="Q387" t="str">
        <f>IFERROR(+VLOOKUP(D387,'[1]Migracion feb25 Ver to ATT'!$B:$B,1,FALSE), "NO")</f>
        <v>901-500-6953</v>
      </c>
      <c r="R387" s="26">
        <f t="shared" si="10"/>
        <v>15</v>
      </c>
    </row>
    <row r="388" spans="1:18" x14ac:dyDescent="0.3">
      <c r="A388" s="46" t="s">
        <v>22</v>
      </c>
      <c r="B388">
        <v>25</v>
      </c>
      <c r="C388">
        <v>5</v>
      </c>
      <c r="D388" s="37" t="s">
        <v>249</v>
      </c>
      <c r="E388" t="str">
        <f>+VLOOKUP(D388,'DISPOSITIVOS ACTIVOS'!$B:$G,6,FALSE)</f>
        <v>AVALOS, JOSEFINA</v>
      </c>
      <c r="F388" s="50">
        <v>249</v>
      </c>
      <c r="G388" s="50" t="s">
        <v>30</v>
      </c>
      <c r="H388" s="51">
        <v>35</v>
      </c>
      <c r="I388" s="50" t="s">
        <v>30</v>
      </c>
      <c r="J388" s="51">
        <v>4.66</v>
      </c>
      <c r="K388" s="51">
        <v>2.38</v>
      </c>
      <c r="L388" s="50"/>
      <c r="M388" s="52">
        <v>42.04</v>
      </c>
      <c r="N388" t="str">
        <f>+VLOOKUP(D388,'DISPOSITIVOS ACTIVOS'!B:D,3,FALSE)</f>
        <v>Iphone</v>
      </c>
      <c r="O388" t="str">
        <f>+VLOOKUP(D388,'DISPOSITIVOS ACTIVOS'!B:G,6,FALSE)</f>
        <v>AVALOS, JOSEFINA</v>
      </c>
      <c r="P388" t="str">
        <f>+VLOOKUP(D388,'DISPOSITIVOS ACTIVOS'!$B$1:$H$299,7,FALSE)</f>
        <v>SALES WEST</v>
      </c>
      <c r="Q388" t="str">
        <f>IFERROR(+VLOOKUP(D388,'[1]Migracion feb25 Ver to ATT'!$B:$B,1,FALSE), "NO")</f>
        <v>NO</v>
      </c>
      <c r="R388" s="26">
        <f t="shared" si="10"/>
        <v>25</v>
      </c>
    </row>
    <row r="389" spans="1:18" x14ac:dyDescent="0.3">
      <c r="A389" s="46" t="s">
        <v>22</v>
      </c>
      <c r="B389">
        <v>25</v>
      </c>
      <c r="C389">
        <v>5</v>
      </c>
      <c r="D389" s="36" t="s">
        <v>251</v>
      </c>
      <c r="E389" t="str">
        <f>+VLOOKUP(D389,'DISPOSITIVOS ACTIVOS'!$B:$G,6,FALSE)</f>
        <v>DE LA TORRE, LUIS G</v>
      </c>
      <c r="F389" s="47">
        <v>251</v>
      </c>
      <c r="G389" s="47" t="s">
        <v>30</v>
      </c>
      <c r="H389" s="48">
        <v>35</v>
      </c>
      <c r="I389" s="47" t="s">
        <v>30</v>
      </c>
      <c r="J389" s="48">
        <v>4.66</v>
      </c>
      <c r="K389" s="48">
        <v>2.38</v>
      </c>
      <c r="L389" s="47"/>
      <c r="M389" s="49">
        <v>42.04</v>
      </c>
      <c r="N389" t="str">
        <f>+VLOOKUP(D389,'DISPOSITIVOS ACTIVOS'!B:D,3,FALSE)</f>
        <v xml:space="preserve">Galaxy </v>
      </c>
      <c r="O389" t="str">
        <f>+VLOOKUP(D389,'DISPOSITIVOS ACTIVOS'!B:G,6,FALSE)</f>
        <v>DE LA TORRE, LUIS G</v>
      </c>
      <c r="P389" t="str">
        <f>+VLOOKUP(D389,'DISPOSITIVOS ACTIVOS'!$B$1:$H$299,7,FALSE)</f>
        <v>LOGISTICS WEST</v>
      </c>
      <c r="Q389" t="str">
        <f>IFERROR(+VLOOKUP(D389,'[1]Migracion feb25 Ver to ATT'!$B:$B,1,FALSE), "NO")</f>
        <v>901-585-9984</v>
      </c>
      <c r="R389" s="26">
        <f t="shared" si="10"/>
        <v>15</v>
      </c>
    </row>
    <row r="390" spans="1:18" x14ac:dyDescent="0.3">
      <c r="A390" s="46" t="s">
        <v>22</v>
      </c>
      <c r="B390">
        <v>25</v>
      </c>
      <c r="C390">
        <v>5</v>
      </c>
      <c r="D390" s="37" t="s">
        <v>253</v>
      </c>
      <c r="E390" t="str">
        <f>+VLOOKUP(D390,'DISPOSITIVOS ACTIVOS'!$B:$G,6,FALSE)</f>
        <v>CORPUS, BENY A</v>
      </c>
      <c r="F390" s="50">
        <v>253</v>
      </c>
      <c r="G390" s="51">
        <v>18</v>
      </c>
      <c r="H390" s="51">
        <v>35</v>
      </c>
      <c r="I390" s="50" t="s">
        <v>30</v>
      </c>
      <c r="J390" s="51">
        <v>11.25</v>
      </c>
      <c r="K390" s="51">
        <v>3.73</v>
      </c>
      <c r="L390" s="50"/>
      <c r="M390" s="52">
        <v>67.98</v>
      </c>
      <c r="N390" t="str">
        <f>+VLOOKUP(D390,'DISPOSITIVOS ACTIVOS'!B:D,3,FALSE)</f>
        <v xml:space="preserve">Galaxy </v>
      </c>
      <c r="O390" t="str">
        <f>+VLOOKUP(D390,'DISPOSITIVOS ACTIVOS'!B:G,6,FALSE)</f>
        <v>CORPUS, BENY A</v>
      </c>
      <c r="P390" t="str">
        <f>+VLOOKUP(D390,'DISPOSITIVOS ACTIVOS'!$B$1:$H$299,7,FALSE)</f>
        <v>LOGISTICS CENTRAL</v>
      </c>
      <c r="Q390" t="str">
        <f>IFERROR(+VLOOKUP(D390,'[1]Migracion feb25 Ver to ATT'!$B:$B,1,FALSE), "NO")</f>
        <v>901-607-5291</v>
      </c>
      <c r="R390" s="26">
        <f t="shared" si="10"/>
        <v>15</v>
      </c>
    </row>
    <row r="391" spans="1:18" x14ac:dyDescent="0.3">
      <c r="A391" s="46" t="s">
        <v>22</v>
      </c>
      <c r="B391">
        <v>25</v>
      </c>
      <c r="C391">
        <v>5</v>
      </c>
      <c r="D391" s="36" t="s">
        <v>255</v>
      </c>
      <c r="E391" t="str">
        <f>+VLOOKUP(D391,'DISPOSITIVOS ACTIVOS'!$B:$G,6,FALSE)</f>
        <v>CHANCHAMIRE, RAFAEL A</v>
      </c>
      <c r="F391" s="47">
        <v>255</v>
      </c>
      <c r="G391" s="47" t="s">
        <v>30</v>
      </c>
      <c r="H391" s="48">
        <v>35</v>
      </c>
      <c r="I391" s="48">
        <v>5.99</v>
      </c>
      <c r="J391" s="48">
        <v>4.66</v>
      </c>
      <c r="K391" s="48">
        <v>2.38</v>
      </c>
      <c r="L391" s="47"/>
      <c r="M391" s="49">
        <v>48.03</v>
      </c>
      <c r="N391" t="str">
        <f>+VLOOKUP(D391,'DISPOSITIVOS ACTIVOS'!B:D,3,FALSE)</f>
        <v>Iphone</v>
      </c>
      <c r="O391" t="str">
        <f>+VLOOKUP(D391,'DISPOSITIVOS ACTIVOS'!B:G,6,FALSE)</f>
        <v>CHANCHAMIRE, RAFAEL A</v>
      </c>
      <c r="P391" t="str">
        <f>+VLOOKUP(D391,'DISPOSITIVOS ACTIVOS'!$B$1:$H$299,7,FALSE)</f>
        <v>SALES WEST</v>
      </c>
      <c r="Q391" t="str">
        <f>IFERROR(+VLOOKUP(D391,'[1]Migracion feb25 Ver to ATT'!$B:$B,1,FALSE), "NO")</f>
        <v>NO</v>
      </c>
      <c r="R391" s="26">
        <f t="shared" si="10"/>
        <v>25</v>
      </c>
    </row>
    <row r="392" spans="1:18" x14ac:dyDescent="0.3">
      <c r="A392" s="46" t="s">
        <v>22</v>
      </c>
      <c r="B392">
        <v>25</v>
      </c>
      <c r="C392">
        <v>5</v>
      </c>
      <c r="D392" s="37" t="s">
        <v>257</v>
      </c>
      <c r="E392" t="str">
        <f>+VLOOKUP(D392,'DISPOSITIVOS ACTIVOS'!$B:$G,6,FALSE)</f>
        <v>FERREIRA, ANA CAROLINA</v>
      </c>
      <c r="F392" s="50">
        <v>257</v>
      </c>
      <c r="G392" s="51">
        <v>-35</v>
      </c>
      <c r="H392" s="51">
        <v>50</v>
      </c>
      <c r="I392" s="50" t="s">
        <v>30</v>
      </c>
      <c r="J392" s="51">
        <v>4.2300000000000004</v>
      </c>
      <c r="K392" s="51">
        <v>1.92</v>
      </c>
      <c r="L392" s="50"/>
      <c r="M392" s="52">
        <v>21.15</v>
      </c>
      <c r="N392" t="str">
        <f>+VLOOKUP(D392,'DISPOSITIVOS ACTIVOS'!B:D,3,FALSE)</f>
        <v>Iphone</v>
      </c>
      <c r="O392" t="str">
        <f>+VLOOKUP(D392,'DISPOSITIVOS ACTIVOS'!B:G,6,FALSE)</f>
        <v>FERREIRA, ANA CAROLINA</v>
      </c>
      <c r="P392" t="str">
        <f>+VLOOKUP(D392,'DISPOSITIVOS ACTIVOS'!$B$1:$H$299,7,FALSE)</f>
        <v>MERCHANDISER WEST</v>
      </c>
      <c r="Q392" t="str">
        <f>IFERROR(+VLOOKUP(D392,'[1]Migracion feb25 Ver to ATT'!$B:$B,1,FALSE), "NO")</f>
        <v>901-713-7796</v>
      </c>
      <c r="R392" s="26">
        <f t="shared" si="10"/>
        <v>15</v>
      </c>
    </row>
    <row r="400" spans="1:18" x14ac:dyDescent="0.3">
      <c r="D400" t="s">
        <v>1042</v>
      </c>
    </row>
    <row r="401" spans="4:4" x14ac:dyDescent="0.3">
      <c r="D401" t="s">
        <v>1043</v>
      </c>
    </row>
  </sheetData>
  <autoFilter ref="A1:O392" xr:uid="{DC89AC8B-7BEF-4157-A920-12BF149B522D}"/>
  <conditionalFormatting sqref="D2:D264">
    <cfRule type="duplicateValues" dxfId="66" priority="29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956D-CD13-45E6-B862-4BF2F9F0B7E2}">
  <sheetPr filterMode="1"/>
  <dimension ref="A1:Q378"/>
  <sheetViews>
    <sheetView showGridLines="0" zoomScale="80" zoomScaleNormal="80" workbookViewId="0">
      <pane ySplit="1" topLeftCell="A12" activePane="bottomLeft" state="frozen"/>
      <selection pane="bottomLeft" activeCell="A12" sqref="A12:O137"/>
    </sheetView>
  </sheetViews>
  <sheetFormatPr defaultRowHeight="14.4" x14ac:dyDescent="0.3"/>
  <cols>
    <col min="2" max="2" width="16.33203125" bestFit="1" customWidth="1"/>
    <col min="3" max="4" width="15.6640625" bestFit="1" customWidth="1"/>
    <col min="5" max="5" width="54.109375" bestFit="1" customWidth="1"/>
    <col min="6" max="6" width="23" customWidth="1"/>
    <col min="7" max="7" width="35.44140625" bestFit="1" customWidth="1"/>
    <col min="8" max="8" width="26.33203125" bestFit="1" customWidth="1"/>
    <col min="9" max="9" width="8.88671875" bestFit="1" customWidth="1"/>
    <col min="10" max="10" width="11.5546875" bestFit="1" customWidth="1"/>
    <col min="11" max="11" width="14.77734375" bestFit="1" customWidth="1"/>
    <col min="12" max="13" width="22.33203125" bestFit="1" customWidth="1"/>
    <col min="14" max="14" width="18.88671875" bestFit="1" customWidth="1"/>
    <col min="15" max="15" width="60" bestFit="1" customWidth="1"/>
    <col min="16" max="16" width="18.44140625" bestFit="1" customWidth="1"/>
  </cols>
  <sheetData>
    <row r="1" spans="1:17" x14ac:dyDescent="0.3">
      <c r="A1" t="s">
        <v>530</v>
      </c>
      <c r="B1" t="s">
        <v>531</v>
      </c>
      <c r="C1" t="s">
        <v>4</v>
      </c>
      <c r="D1" t="s">
        <v>532</v>
      </c>
      <c r="E1" t="s">
        <v>533</v>
      </c>
      <c r="F1" t="s">
        <v>534</v>
      </c>
      <c r="G1" t="s">
        <v>535</v>
      </c>
      <c r="H1" t="s">
        <v>19</v>
      </c>
      <c r="I1" t="s">
        <v>536</v>
      </c>
      <c r="J1" t="s">
        <v>537</v>
      </c>
      <c r="K1" t="s">
        <v>538</v>
      </c>
      <c r="L1" t="s">
        <v>539</v>
      </c>
      <c r="M1" t="s">
        <v>540</v>
      </c>
      <c r="N1" t="s">
        <v>541</v>
      </c>
      <c r="O1" t="s">
        <v>542</v>
      </c>
      <c r="P1" t="s">
        <v>543</v>
      </c>
    </row>
    <row r="2" spans="1:17" hidden="1" x14ac:dyDescent="0.3">
      <c r="A2" s="1" t="s">
        <v>544</v>
      </c>
      <c r="B2" t="s">
        <v>159</v>
      </c>
      <c r="C2" t="s">
        <v>22</v>
      </c>
      <c r="D2" t="s">
        <v>191</v>
      </c>
      <c r="E2" t="s">
        <v>545</v>
      </c>
      <c r="F2" s="3">
        <v>356964995021992</v>
      </c>
      <c r="G2" t="s">
        <v>546</v>
      </c>
      <c r="H2" t="s">
        <v>547</v>
      </c>
      <c r="I2" t="s">
        <v>548</v>
      </c>
      <c r="J2" t="s">
        <v>549</v>
      </c>
      <c r="K2" t="s">
        <v>550</v>
      </c>
      <c r="L2" s="2">
        <v>45658</v>
      </c>
      <c r="M2" s="2">
        <v>45717</v>
      </c>
      <c r="N2" t="s">
        <v>551</v>
      </c>
    </row>
    <row r="3" spans="1:17" hidden="1" x14ac:dyDescent="0.3">
      <c r="A3" s="1" t="s">
        <v>552</v>
      </c>
      <c r="B3" s="21" t="s">
        <v>135</v>
      </c>
      <c r="C3" t="s">
        <v>22</v>
      </c>
      <c r="D3" t="s">
        <v>191</v>
      </c>
      <c r="E3" t="s">
        <v>553</v>
      </c>
      <c r="F3" s="3">
        <v>352917261435522</v>
      </c>
      <c r="G3" t="s">
        <v>554</v>
      </c>
      <c r="H3" t="s">
        <v>555</v>
      </c>
      <c r="I3" t="s">
        <v>548</v>
      </c>
      <c r="J3" t="s">
        <v>549</v>
      </c>
      <c r="K3" t="s">
        <v>550</v>
      </c>
      <c r="L3" s="2">
        <v>45658</v>
      </c>
      <c r="M3" s="2">
        <v>45717</v>
      </c>
      <c r="N3" t="s">
        <v>551</v>
      </c>
      <c r="O3" s="21"/>
      <c r="P3" s="21"/>
      <c r="Q3" s="21"/>
    </row>
    <row r="4" spans="1:17" hidden="1" x14ac:dyDescent="0.3">
      <c r="A4" s="1" t="s">
        <v>556</v>
      </c>
      <c r="B4" s="21"/>
      <c r="F4" s="3"/>
      <c r="G4" s="21"/>
      <c r="L4" s="2"/>
      <c r="M4" s="2"/>
      <c r="O4" s="21"/>
      <c r="P4" s="21"/>
      <c r="Q4" s="21"/>
    </row>
    <row r="5" spans="1:17" s="14" customFormat="1" hidden="1" x14ac:dyDescent="0.3">
      <c r="A5" s="1" t="s">
        <v>557</v>
      </c>
      <c r="B5" s="21"/>
      <c r="C5"/>
      <c r="D5"/>
      <c r="E5"/>
      <c r="F5" s="3"/>
      <c r="G5" s="21"/>
      <c r="H5"/>
      <c r="I5" s="21"/>
      <c r="J5" s="21"/>
      <c r="K5" s="21"/>
      <c r="L5" s="22"/>
      <c r="M5" s="22"/>
      <c r="N5" s="21"/>
      <c r="O5" s="21"/>
      <c r="P5" s="21"/>
      <c r="Q5" s="21"/>
    </row>
    <row r="6" spans="1:17" hidden="1" x14ac:dyDescent="0.3">
      <c r="A6" s="1" t="s">
        <v>558</v>
      </c>
      <c r="B6" t="s">
        <v>137</v>
      </c>
      <c r="C6" t="s">
        <v>22</v>
      </c>
      <c r="D6" t="s">
        <v>191</v>
      </c>
      <c r="E6" t="s">
        <v>559</v>
      </c>
      <c r="F6" s="3">
        <v>357205981304151</v>
      </c>
      <c r="G6" t="s">
        <v>546</v>
      </c>
      <c r="H6" t="s">
        <v>547</v>
      </c>
      <c r="I6" t="s">
        <v>548</v>
      </c>
      <c r="J6" t="s">
        <v>549</v>
      </c>
      <c r="K6" t="s">
        <v>550</v>
      </c>
      <c r="L6" s="2">
        <v>45658</v>
      </c>
      <c r="M6" s="2">
        <v>45717</v>
      </c>
      <c r="N6" t="s">
        <v>551</v>
      </c>
    </row>
    <row r="7" spans="1:17" hidden="1" x14ac:dyDescent="0.3">
      <c r="A7" s="1" t="s">
        <v>560</v>
      </c>
      <c r="B7" t="s">
        <v>123</v>
      </c>
      <c r="C7" t="s">
        <v>22</v>
      </c>
      <c r="D7" t="s">
        <v>191</v>
      </c>
      <c r="E7" t="s">
        <v>561</v>
      </c>
      <c r="F7" s="3">
        <v>356985725478830</v>
      </c>
      <c r="G7" t="s">
        <v>554</v>
      </c>
      <c r="H7" t="s">
        <v>555</v>
      </c>
      <c r="I7" t="s">
        <v>548</v>
      </c>
      <c r="J7" t="s">
        <v>549</v>
      </c>
      <c r="K7" t="s">
        <v>550</v>
      </c>
      <c r="L7" s="2">
        <v>45658</v>
      </c>
      <c r="M7" s="2">
        <v>45717</v>
      </c>
      <c r="N7" t="s">
        <v>551</v>
      </c>
    </row>
    <row r="8" spans="1:17" hidden="1" x14ac:dyDescent="0.3">
      <c r="A8" s="1" t="s">
        <v>562</v>
      </c>
      <c r="B8" t="s">
        <v>127</v>
      </c>
      <c r="C8" t="s">
        <v>22</v>
      </c>
      <c r="D8" t="s">
        <v>191</v>
      </c>
      <c r="E8" t="s">
        <v>563</v>
      </c>
      <c r="F8" s="3">
        <v>350566101441174</v>
      </c>
      <c r="G8" t="s">
        <v>564</v>
      </c>
      <c r="H8" t="s">
        <v>565</v>
      </c>
      <c r="I8" t="s">
        <v>548</v>
      </c>
      <c r="J8" t="s">
        <v>549</v>
      </c>
      <c r="K8" t="s">
        <v>550</v>
      </c>
      <c r="L8" s="2">
        <v>45658</v>
      </c>
      <c r="M8" s="2">
        <v>45717</v>
      </c>
      <c r="N8" t="s">
        <v>551</v>
      </c>
      <c r="P8" t="s">
        <v>566</v>
      </c>
    </row>
    <row r="9" spans="1:17" hidden="1" x14ac:dyDescent="0.3">
      <c r="A9" s="1" t="s">
        <v>567</v>
      </c>
      <c r="B9" t="s">
        <v>157</v>
      </c>
      <c r="C9" t="s">
        <v>22</v>
      </c>
      <c r="D9" t="s">
        <v>191</v>
      </c>
      <c r="E9" t="s">
        <v>568</v>
      </c>
      <c r="F9" s="3">
        <v>356796480675498</v>
      </c>
      <c r="G9" t="s">
        <v>564</v>
      </c>
      <c r="H9" t="s">
        <v>565</v>
      </c>
      <c r="I9" t="s">
        <v>548</v>
      </c>
      <c r="J9" t="s">
        <v>549</v>
      </c>
      <c r="K9" t="s">
        <v>550</v>
      </c>
      <c r="L9" s="2">
        <v>45658</v>
      </c>
      <c r="M9" s="2">
        <v>45717</v>
      </c>
      <c r="N9" t="s">
        <v>551</v>
      </c>
      <c r="P9" t="s">
        <v>566</v>
      </c>
    </row>
    <row r="10" spans="1:17" hidden="1" x14ac:dyDescent="0.3">
      <c r="A10" s="1" t="s">
        <v>569</v>
      </c>
      <c r="B10" t="s">
        <v>177</v>
      </c>
      <c r="C10" t="s">
        <v>22</v>
      </c>
      <c r="D10" t="s">
        <v>191</v>
      </c>
      <c r="E10" t="s">
        <v>570</v>
      </c>
      <c r="F10" s="3">
        <v>353247104496222</v>
      </c>
      <c r="G10" t="s">
        <v>564</v>
      </c>
      <c r="H10" t="s">
        <v>565</v>
      </c>
      <c r="I10" t="s">
        <v>548</v>
      </c>
      <c r="J10" t="s">
        <v>549</v>
      </c>
      <c r="K10" t="s">
        <v>550</v>
      </c>
      <c r="L10" s="2">
        <v>45658</v>
      </c>
      <c r="M10" s="2">
        <v>45717</v>
      </c>
      <c r="N10" t="s">
        <v>551</v>
      </c>
      <c r="P10" t="s">
        <v>566</v>
      </c>
    </row>
    <row r="11" spans="1:17" hidden="1" x14ac:dyDescent="0.3">
      <c r="A11" s="1" t="s">
        <v>571</v>
      </c>
      <c r="B11" t="s">
        <v>153</v>
      </c>
      <c r="C11" t="s">
        <v>22</v>
      </c>
      <c r="D11" t="s">
        <v>191</v>
      </c>
      <c r="E11" t="s">
        <v>572</v>
      </c>
      <c r="F11" s="3">
        <v>350019045940745</v>
      </c>
      <c r="G11" t="s">
        <v>573</v>
      </c>
      <c r="H11" t="s">
        <v>574</v>
      </c>
      <c r="I11" t="s">
        <v>548</v>
      </c>
      <c r="J11" t="s">
        <v>549</v>
      </c>
      <c r="K11" t="s">
        <v>550</v>
      </c>
      <c r="L11" s="2">
        <v>45658</v>
      </c>
      <c r="M11" s="2">
        <v>45717</v>
      </c>
      <c r="N11" t="s">
        <v>551</v>
      </c>
      <c r="P11" t="s">
        <v>566</v>
      </c>
    </row>
    <row r="12" spans="1:17" x14ac:dyDescent="0.3">
      <c r="A12" s="1" t="s">
        <v>575</v>
      </c>
      <c r="B12" t="s">
        <v>576</v>
      </c>
      <c r="C12" t="s">
        <v>577</v>
      </c>
      <c r="D12" t="s">
        <v>114</v>
      </c>
      <c r="E12" t="s">
        <v>578</v>
      </c>
      <c r="F12" s="3">
        <v>356747116811213</v>
      </c>
      <c r="G12" t="s">
        <v>573</v>
      </c>
      <c r="H12" t="s">
        <v>574</v>
      </c>
      <c r="I12" t="s">
        <v>548</v>
      </c>
      <c r="J12" t="s">
        <v>549</v>
      </c>
      <c r="K12" t="s">
        <v>550</v>
      </c>
      <c r="L12" s="2">
        <v>45658</v>
      </c>
      <c r="M12" s="2">
        <v>45717</v>
      </c>
      <c r="N12" t="s">
        <v>551</v>
      </c>
      <c r="P12" t="s">
        <v>566</v>
      </c>
    </row>
    <row r="13" spans="1:17" hidden="1" x14ac:dyDescent="0.3">
      <c r="A13" s="1" t="s">
        <v>579</v>
      </c>
      <c r="B13" t="s">
        <v>117</v>
      </c>
      <c r="C13" t="s">
        <v>22</v>
      </c>
      <c r="D13" t="s">
        <v>191</v>
      </c>
      <c r="E13" t="s">
        <v>580</v>
      </c>
      <c r="F13" s="3">
        <v>353547798360296</v>
      </c>
      <c r="G13" t="s">
        <v>581</v>
      </c>
      <c r="H13" t="s">
        <v>582</v>
      </c>
      <c r="I13" t="s">
        <v>548</v>
      </c>
      <c r="J13" t="s">
        <v>549</v>
      </c>
      <c r="K13" t="s">
        <v>550</v>
      </c>
      <c r="L13" s="2">
        <v>45658</v>
      </c>
      <c r="M13" s="2">
        <v>45717</v>
      </c>
      <c r="N13" t="s">
        <v>551</v>
      </c>
      <c r="P13" t="s">
        <v>566</v>
      </c>
    </row>
    <row r="14" spans="1:17" x14ac:dyDescent="0.3">
      <c r="A14" s="1" t="s">
        <v>583</v>
      </c>
      <c r="B14" t="s">
        <v>584</v>
      </c>
      <c r="C14" t="s">
        <v>577</v>
      </c>
      <c r="D14" t="s">
        <v>585</v>
      </c>
      <c r="E14" t="s">
        <v>586</v>
      </c>
      <c r="F14" s="3">
        <v>355978840919284</v>
      </c>
      <c r="G14" t="s">
        <v>587</v>
      </c>
      <c r="H14" t="s">
        <v>588</v>
      </c>
      <c r="I14" t="s">
        <v>589</v>
      </c>
      <c r="J14" t="s">
        <v>590</v>
      </c>
      <c r="K14" t="s">
        <v>550</v>
      </c>
      <c r="L14" s="2">
        <v>45658</v>
      </c>
      <c r="M14" s="2">
        <v>45717</v>
      </c>
      <c r="N14" t="s">
        <v>551</v>
      </c>
    </row>
    <row r="15" spans="1:17" hidden="1" x14ac:dyDescent="0.3">
      <c r="A15" s="1" t="s">
        <v>591</v>
      </c>
      <c r="B15" t="s">
        <v>119</v>
      </c>
      <c r="C15" t="s">
        <v>22</v>
      </c>
      <c r="D15" t="s">
        <v>592</v>
      </c>
      <c r="E15" t="s">
        <v>586</v>
      </c>
      <c r="F15" s="3">
        <v>351700860699123</v>
      </c>
      <c r="G15" t="s">
        <v>593</v>
      </c>
      <c r="H15" t="s">
        <v>594</v>
      </c>
      <c r="I15" t="s">
        <v>589</v>
      </c>
      <c r="J15" t="s">
        <v>549</v>
      </c>
      <c r="K15" t="s">
        <v>550</v>
      </c>
      <c r="L15" s="2">
        <v>45658</v>
      </c>
      <c r="M15" s="2">
        <v>45717</v>
      </c>
      <c r="N15" t="s">
        <v>551</v>
      </c>
    </row>
    <row r="16" spans="1:17" hidden="1" x14ac:dyDescent="0.3">
      <c r="A16" s="1" t="s">
        <v>595</v>
      </c>
      <c r="B16" t="s">
        <v>253</v>
      </c>
      <c r="C16" t="s">
        <v>22</v>
      </c>
      <c r="D16" t="s">
        <v>585</v>
      </c>
      <c r="E16" t="s">
        <v>586</v>
      </c>
      <c r="F16" s="3">
        <v>355978840897134</v>
      </c>
      <c r="G16" t="s">
        <v>596</v>
      </c>
      <c r="H16" t="s">
        <v>597</v>
      </c>
      <c r="I16" t="s">
        <v>589</v>
      </c>
      <c r="J16" t="s">
        <v>549</v>
      </c>
      <c r="K16" t="s">
        <v>550</v>
      </c>
      <c r="L16" s="2">
        <v>45658</v>
      </c>
      <c r="M16" s="2">
        <v>45717</v>
      </c>
      <c r="N16" t="s">
        <v>551</v>
      </c>
    </row>
    <row r="17" spans="1:14" hidden="1" x14ac:dyDescent="0.3">
      <c r="A17">
        <v>244</v>
      </c>
      <c r="B17" t="s">
        <v>121</v>
      </c>
      <c r="C17" t="s">
        <v>22</v>
      </c>
      <c r="D17" t="s">
        <v>191</v>
      </c>
      <c r="E17" t="s">
        <v>598</v>
      </c>
      <c r="F17" s="3">
        <v>356485673725928</v>
      </c>
      <c r="G17" t="s">
        <v>599</v>
      </c>
      <c r="H17" t="s">
        <v>594</v>
      </c>
      <c r="I17" t="s">
        <v>600</v>
      </c>
      <c r="J17" t="s">
        <v>549</v>
      </c>
      <c r="K17" t="s">
        <v>550</v>
      </c>
      <c r="L17" s="2">
        <v>45658</v>
      </c>
      <c r="M17" s="2">
        <v>45717</v>
      </c>
      <c r="N17" t="s">
        <v>551</v>
      </c>
    </row>
    <row r="18" spans="1:14" hidden="1" x14ac:dyDescent="0.3">
      <c r="A18" s="1" t="s">
        <v>601</v>
      </c>
      <c r="B18" t="s">
        <v>111</v>
      </c>
      <c r="C18" t="s">
        <v>22</v>
      </c>
      <c r="D18" t="s">
        <v>602</v>
      </c>
      <c r="E18" t="s">
        <v>603</v>
      </c>
      <c r="F18" s="3">
        <v>355984450930637</v>
      </c>
      <c r="G18" t="s">
        <v>604</v>
      </c>
      <c r="H18" t="s">
        <v>597</v>
      </c>
      <c r="I18" t="s">
        <v>589</v>
      </c>
      <c r="J18" t="s">
        <v>549</v>
      </c>
      <c r="K18" t="s">
        <v>550</v>
      </c>
      <c r="L18" s="2">
        <v>45658</v>
      </c>
      <c r="M18" s="2">
        <v>45717</v>
      </c>
      <c r="N18" t="s">
        <v>551</v>
      </c>
    </row>
    <row r="19" spans="1:14" hidden="1" x14ac:dyDescent="0.3">
      <c r="A19" s="1" t="s">
        <v>605</v>
      </c>
      <c r="B19" t="s">
        <v>206</v>
      </c>
      <c r="C19" t="s">
        <v>22</v>
      </c>
      <c r="D19" t="s">
        <v>191</v>
      </c>
      <c r="E19" t="s">
        <v>606</v>
      </c>
      <c r="F19" s="3">
        <v>358091652355105</v>
      </c>
      <c r="G19" t="s">
        <v>607</v>
      </c>
      <c r="H19" t="s">
        <v>588</v>
      </c>
      <c r="I19" t="s">
        <v>600</v>
      </c>
      <c r="J19" t="s">
        <v>590</v>
      </c>
      <c r="K19" t="s">
        <v>550</v>
      </c>
      <c r="L19" s="2">
        <v>45658</v>
      </c>
      <c r="M19" s="2">
        <v>45717</v>
      </c>
      <c r="N19" t="s">
        <v>551</v>
      </c>
    </row>
    <row r="20" spans="1:14" hidden="1" x14ac:dyDescent="0.3">
      <c r="A20" s="1" t="s">
        <v>608</v>
      </c>
      <c r="B20" t="s">
        <v>97</v>
      </c>
      <c r="C20" t="s">
        <v>22</v>
      </c>
      <c r="D20" t="s">
        <v>585</v>
      </c>
      <c r="E20" t="s">
        <v>586</v>
      </c>
      <c r="F20" s="3">
        <v>355978840941007</v>
      </c>
      <c r="G20" t="s">
        <v>609</v>
      </c>
      <c r="H20" t="s">
        <v>597</v>
      </c>
      <c r="I20" t="s">
        <v>589</v>
      </c>
      <c r="J20" t="s">
        <v>549</v>
      </c>
      <c r="K20" t="s">
        <v>550</v>
      </c>
      <c r="L20" s="2">
        <v>45658</v>
      </c>
      <c r="M20" s="2">
        <v>45717</v>
      </c>
      <c r="N20" t="s">
        <v>551</v>
      </c>
    </row>
    <row r="21" spans="1:14" hidden="1" x14ac:dyDescent="0.3">
      <c r="A21" s="1" t="s">
        <v>610</v>
      </c>
      <c r="B21" t="s">
        <v>187</v>
      </c>
      <c r="C21" t="s">
        <v>22</v>
      </c>
      <c r="D21" t="s">
        <v>592</v>
      </c>
      <c r="E21" t="s">
        <v>611</v>
      </c>
      <c r="F21" s="3">
        <v>351082120997815</v>
      </c>
      <c r="G21" t="s">
        <v>612</v>
      </c>
      <c r="H21" t="s">
        <v>588</v>
      </c>
      <c r="I21" t="s">
        <v>589</v>
      </c>
      <c r="J21" t="s">
        <v>590</v>
      </c>
      <c r="K21" t="s">
        <v>550</v>
      </c>
      <c r="L21" s="2">
        <v>45658</v>
      </c>
      <c r="M21" s="2">
        <v>45717</v>
      </c>
      <c r="N21" t="s">
        <v>551</v>
      </c>
    </row>
    <row r="22" spans="1:14" x14ac:dyDescent="0.3">
      <c r="A22" s="1" t="s">
        <v>613</v>
      </c>
      <c r="B22" t="s">
        <v>614</v>
      </c>
      <c r="C22" t="s">
        <v>577</v>
      </c>
      <c r="D22" t="s">
        <v>585</v>
      </c>
      <c r="E22" t="s">
        <v>586</v>
      </c>
      <c r="F22" s="3">
        <v>355978840948754</v>
      </c>
      <c r="G22" t="s">
        <v>615</v>
      </c>
      <c r="H22" t="s">
        <v>616</v>
      </c>
      <c r="I22" t="s">
        <v>589</v>
      </c>
      <c r="J22" t="s">
        <v>617</v>
      </c>
      <c r="K22" t="s">
        <v>550</v>
      </c>
      <c r="L22" s="2">
        <v>45658</v>
      </c>
      <c r="M22" s="2">
        <v>45717</v>
      </c>
      <c r="N22" t="s">
        <v>551</v>
      </c>
    </row>
    <row r="23" spans="1:14" hidden="1" x14ac:dyDescent="0.3">
      <c r="A23" s="1" t="s">
        <v>618</v>
      </c>
      <c r="B23" s="4" t="s">
        <v>251</v>
      </c>
      <c r="C23" t="s">
        <v>22</v>
      </c>
      <c r="D23" t="s">
        <v>585</v>
      </c>
      <c r="E23" t="s">
        <v>586</v>
      </c>
      <c r="F23" s="3">
        <v>355978840945446</v>
      </c>
      <c r="G23" t="s">
        <v>619</v>
      </c>
      <c r="H23" t="s">
        <v>588</v>
      </c>
      <c r="I23" t="s">
        <v>589</v>
      </c>
      <c r="J23" t="s">
        <v>590</v>
      </c>
      <c r="K23" t="s">
        <v>550</v>
      </c>
      <c r="L23" s="2">
        <v>45658</v>
      </c>
      <c r="M23" s="2">
        <v>45717</v>
      </c>
      <c r="N23" t="s">
        <v>551</v>
      </c>
    </row>
    <row r="24" spans="1:14" x14ac:dyDescent="0.3">
      <c r="A24" s="1" t="s">
        <v>620</v>
      </c>
      <c r="B24" s="21" t="s">
        <v>621</v>
      </c>
      <c r="C24" s="21" t="s">
        <v>577</v>
      </c>
      <c r="D24" s="21" t="s">
        <v>585</v>
      </c>
      <c r="E24" s="21" t="s">
        <v>586</v>
      </c>
      <c r="F24" s="3">
        <v>355978840949059</v>
      </c>
      <c r="G24" s="21" t="s">
        <v>622</v>
      </c>
      <c r="H24" t="s">
        <v>623</v>
      </c>
      <c r="I24" t="s">
        <v>589</v>
      </c>
      <c r="J24" t="s">
        <v>624</v>
      </c>
      <c r="K24" t="s">
        <v>550</v>
      </c>
      <c r="L24" s="2">
        <v>45762</v>
      </c>
      <c r="M24" s="2">
        <v>45762</v>
      </c>
      <c r="N24" t="s">
        <v>551</v>
      </c>
    </row>
    <row r="25" spans="1:14" hidden="1" x14ac:dyDescent="0.3">
      <c r="A25" s="1" t="s">
        <v>625</v>
      </c>
      <c r="B25" t="s">
        <v>165</v>
      </c>
      <c r="C25" t="s">
        <v>22</v>
      </c>
      <c r="D25" t="s">
        <v>585</v>
      </c>
      <c r="E25" t="s">
        <v>626</v>
      </c>
      <c r="F25" s="3">
        <v>351082120939429</v>
      </c>
      <c r="G25" t="s">
        <v>627</v>
      </c>
      <c r="H25" t="s">
        <v>628</v>
      </c>
      <c r="I25" t="s">
        <v>589</v>
      </c>
      <c r="J25" t="s">
        <v>624</v>
      </c>
      <c r="K25" t="s">
        <v>550</v>
      </c>
      <c r="L25" s="2">
        <v>45658</v>
      </c>
      <c r="M25" s="2">
        <v>45717</v>
      </c>
      <c r="N25" t="s">
        <v>551</v>
      </c>
    </row>
    <row r="26" spans="1:14" hidden="1" x14ac:dyDescent="0.3">
      <c r="A26" s="1" t="s">
        <v>629</v>
      </c>
      <c r="B26" t="s">
        <v>99</v>
      </c>
      <c r="C26" t="s">
        <v>22</v>
      </c>
      <c r="D26" t="s">
        <v>191</v>
      </c>
      <c r="E26" t="s">
        <v>630</v>
      </c>
      <c r="F26" s="3">
        <v>358091652696490</v>
      </c>
      <c r="G26" t="s">
        <v>631</v>
      </c>
      <c r="H26" t="s">
        <v>632</v>
      </c>
      <c r="I26" t="s">
        <v>589</v>
      </c>
      <c r="J26" t="s">
        <v>617</v>
      </c>
      <c r="K26" t="s">
        <v>550</v>
      </c>
      <c r="L26" s="2">
        <v>45658</v>
      </c>
      <c r="M26" s="2">
        <v>45717</v>
      </c>
      <c r="N26" t="s">
        <v>551</v>
      </c>
    </row>
    <row r="27" spans="1:14" hidden="1" x14ac:dyDescent="0.3">
      <c r="A27" s="1" t="s">
        <v>633</v>
      </c>
      <c r="B27" t="s">
        <v>125</v>
      </c>
      <c r="C27" t="s">
        <v>22</v>
      </c>
      <c r="D27" t="s">
        <v>191</v>
      </c>
      <c r="E27" t="s">
        <v>606</v>
      </c>
      <c r="F27" s="3">
        <v>354739183440614</v>
      </c>
      <c r="G27" t="s">
        <v>634</v>
      </c>
      <c r="H27" t="s">
        <v>632</v>
      </c>
      <c r="I27" t="s">
        <v>589</v>
      </c>
      <c r="J27" t="s">
        <v>617</v>
      </c>
      <c r="K27" t="s">
        <v>550</v>
      </c>
      <c r="L27" s="2">
        <v>45658</v>
      </c>
      <c r="M27" s="2">
        <v>45717</v>
      </c>
      <c r="N27" t="s">
        <v>551</v>
      </c>
    </row>
    <row r="28" spans="1:14" x14ac:dyDescent="0.3">
      <c r="A28" s="1" t="s">
        <v>635</v>
      </c>
      <c r="B28" t="s">
        <v>636</v>
      </c>
      <c r="C28" t="s">
        <v>577</v>
      </c>
      <c r="D28" t="s">
        <v>114</v>
      </c>
      <c r="E28" t="s">
        <v>578</v>
      </c>
      <c r="F28" s="3">
        <v>356749110441328</v>
      </c>
      <c r="G28" t="s">
        <v>634</v>
      </c>
      <c r="H28" t="s">
        <v>632</v>
      </c>
      <c r="I28" t="s">
        <v>589</v>
      </c>
      <c r="J28" t="s">
        <v>617</v>
      </c>
      <c r="K28" t="s">
        <v>550</v>
      </c>
      <c r="L28" s="2">
        <v>45658</v>
      </c>
      <c r="M28" s="2">
        <v>45717</v>
      </c>
      <c r="N28" t="s">
        <v>551</v>
      </c>
    </row>
    <row r="29" spans="1:14" hidden="1" x14ac:dyDescent="0.3">
      <c r="A29" s="1" t="s">
        <v>637</v>
      </c>
      <c r="B29" t="s">
        <v>131</v>
      </c>
      <c r="C29" t="s">
        <v>22</v>
      </c>
      <c r="D29" t="s">
        <v>191</v>
      </c>
      <c r="E29" t="s">
        <v>630</v>
      </c>
      <c r="F29" s="3">
        <v>358091652064830</v>
      </c>
      <c r="G29" t="s">
        <v>638</v>
      </c>
      <c r="H29" t="s">
        <v>639</v>
      </c>
      <c r="I29" t="s">
        <v>589</v>
      </c>
      <c r="J29" t="s">
        <v>549</v>
      </c>
      <c r="K29" t="s">
        <v>550</v>
      </c>
      <c r="L29" s="2">
        <v>45658</v>
      </c>
      <c r="M29" s="2">
        <v>45717</v>
      </c>
      <c r="N29" t="s">
        <v>551</v>
      </c>
    </row>
    <row r="30" spans="1:14" x14ac:dyDescent="0.3">
      <c r="A30" s="1" t="s">
        <v>640</v>
      </c>
      <c r="B30" t="s">
        <v>641</v>
      </c>
      <c r="C30" t="s">
        <v>577</v>
      </c>
      <c r="D30" t="s">
        <v>114</v>
      </c>
      <c r="E30" t="s">
        <v>578</v>
      </c>
      <c r="F30" s="3">
        <v>356747112510629</v>
      </c>
      <c r="G30" t="s">
        <v>638</v>
      </c>
      <c r="H30" t="s">
        <v>639</v>
      </c>
      <c r="I30" t="s">
        <v>589</v>
      </c>
      <c r="J30" t="s">
        <v>549</v>
      </c>
      <c r="K30" t="s">
        <v>550</v>
      </c>
      <c r="L30" s="2">
        <v>45658</v>
      </c>
      <c r="M30" s="2">
        <v>45717</v>
      </c>
      <c r="N30" t="s">
        <v>551</v>
      </c>
    </row>
    <row r="31" spans="1:14" hidden="1" x14ac:dyDescent="0.3">
      <c r="A31" s="1" t="s">
        <v>642</v>
      </c>
      <c r="B31" t="s">
        <v>73</v>
      </c>
      <c r="C31" t="s">
        <v>22</v>
      </c>
      <c r="D31" t="s">
        <v>191</v>
      </c>
      <c r="E31" t="s">
        <v>630</v>
      </c>
      <c r="F31" s="3">
        <v>358091652243426</v>
      </c>
      <c r="G31" t="s">
        <v>643</v>
      </c>
      <c r="H31" t="s">
        <v>644</v>
      </c>
      <c r="I31" t="s">
        <v>589</v>
      </c>
      <c r="J31" t="s">
        <v>590</v>
      </c>
      <c r="K31" t="s">
        <v>550</v>
      </c>
      <c r="L31" s="2">
        <v>45658</v>
      </c>
      <c r="M31" s="2">
        <v>45717</v>
      </c>
      <c r="N31" t="s">
        <v>551</v>
      </c>
    </row>
    <row r="32" spans="1:14" x14ac:dyDescent="0.3">
      <c r="A32" s="1" t="s">
        <v>645</v>
      </c>
      <c r="B32" t="s">
        <v>646</v>
      </c>
      <c r="C32" t="s">
        <v>577</v>
      </c>
      <c r="D32" t="s">
        <v>114</v>
      </c>
      <c r="E32" t="s">
        <v>647</v>
      </c>
      <c r="F32" s="3">
        <v>355939971952932</v>
      </c>
      <c r="G32" t="s">
        <v>643</v>
      </c>
      <c r="H32" t="s">
        <v>644</v>
      </c>
      <c r="I32" t="s">
        <v>589</v>
      </c>
      <c r="J32" t="s">
        <v>590</v>
      </c>
      <c r="K32" t="s">
        <v>550</v>
      </c>
      <c r="L32" s="2">
        <v>45658</v>
      </c>
      <c r="M32" s="2">
        <v>45717</v>
      </c>
      <c r="N32" t="s">
        <v>551</v>
      </c>
    </row>
    <row r="33" spans="1:14" hidden="1" x14ac:dyDescent="0.3">
      <c r="A33" s="1" t="s">
        <v>648</v>
      </c>
      <c r="B33" t="s">
        <v>61</v>
      </c>
      <c r="C33" t="s">
        <v>22</v>
      </c>
      <c r="D33" t="s">
        <v>114</v>
      </c>
      <c r="E33" t="s">
        <v>649</v>
      </c>
      <c r="F33" s="3">
        <v>357652533185275</v>
      </c>
      <c r="G33" t="s">
        <v>650</v>
      </c>
      <c r="H33" t="s">
        <v>644</v>
      </c>
      <c r="I33" t="s">
        <v>589</v>
      </c>
      <c r="J33" t="s">
        <v>590</v>
      </c>
      <c r="K33" t="s">
        <v>550</v>
      </c>
      <c r="L33" s="2">
        <v>45658</v>
      </c>
      <c r="M33" s="2">
        <v>45717</v>
      </c>
      <c r="N33" t="s">
        <v>551</v>
      </c>
    </row>
    <row r="34" spans="1:14" hidden="1" x14ac:dyDescent="0.3">
      <c r="A34" s="1" t="s">
        <v>651</v>
      </c>
      <c r="B34" t="s">
        <v>255</v>
      </c>
      <c r="C34" t="s">
        <v>22</v>
      </c>
      <c r="D34" t="s">
        <v>191</v>
      </c>
      <c r="E34" t="s">
        <v>652</v>
      </c>
      <c r="F34" s="3">
        <v>354633859827800</v>
      </c>
      <c r="G34" t="s">
        <v>650</v>
      </c>
      <c r="H34" t="s">
        <v>644</v>
      </c>
      <c r="I34" t="s">
        <v>589</v>
      </c>
      <c r="J34" t="s">
        <v>590</v>
      </c>
      <c r="K34" t="s">
        <v>550</v>
      </c>
      <c r="L34" s="2">
        <v>45658</v>
      </c>
      <c r="M34" s="2">
        <v>45717</v>
      </c>
      <c r="N34" t="s">
        <v>551</v>
      </c>
    </row>
    <row r="35" spans="1:14" hidden="1" x14ac:dyDescent="0.3">
      <c r="A35" s="1" t="s">
        <v>653</v>
      </c>
      <c r="B35" t="s">
        <v>101</v>
      </c>
      <c r="C35" t="s">
        <v>22</v>
      </c>
      <c r="D35" t="s">
        <v>191</v>
      </c>
      <c r="E35" t="s">
        <v>630</v>
      </c>
      <c r="F35" s="3">
        <v>350555043090645</v>
      </c>
      <c r="G35" t="s">
        <v>654</v>
      </c>
      <c r="H35" t="s">
        <v>632</v>
      </c>
      <c r="I35" t="s">
        <v>589</v>
      </c>
      <c r="J35" t="s">
        <v>617</v>
      </c>
      <c r="K35" t="s">
        <v>550</v>
      </c>
      <c r="L35" s="2">
        <v>45658</v>
      </c>
      <c r="M35" s="2">
        <v>45717</v>
      </c>
      <c r="N35" t="s">
        <v>551</v>
      </c>
    </row>
    <row r="36" spans="1:14" x14ac:dyDescent="0.3">
      <c r="A36" s="1" t="s">
        <v>655</v>
      </c>
      <c r="B36" t="s">
        <v>656</v>
      </c>
      <c r="C36" t="s">
        <v>577</v>
      </c>
      <c r="D36" t="s">
        <v>114</v>
      </c>
      <c r="E36" t="s">
        <v>657</v>
      </c>
      <c r="F36" s="3">
        <v>359455081195458</v>
      </c>
      <c r="G36" t="s">
        <v>654</v>
      </c>
      <c r="H36" t="s">
        <v>632</v>
      </c>
      <c r="I36" t="s">
        <v>589</v>
      </c>
      <c r="J36" t="s">
        <v>617</v>
      </c>
      <c r="K36" t="s">
        <v>550</v>
      </c>
      <c r="L36" s="2">
        <v>45658</v>
      </c>
      <c r="M36" s="2">
        <v>45717</v>
      </c>
      <c r="N36" t="s">
        <v>551</v>
      </c>
    </row>
    <row r="37" spans="1:14" hidden="1" x14ac:dyDescent="0.3">
      <c r="A37" s="1" t="s">
        <v>658</v>
      </c>
      <c r="B37" t="s">
        <v>49</v>
      </c>
      <c r="C37" t="s">
        <v>22</v>
      </c>
      <c r="D37" t="s">
        <v>114</v>
      </c>
      <c r="E37" t="s">
        <v>649</v>
      </c>
      <c r="F37" s="3">
        <v>351036279350523</v>
      </c>
      <c r="G37" t="s">
        <v>659</v>
      </c>
      <c r="H37" t="s">
        <v>660</v>
      </c>
      <c r="I37" t="s">
        <v>589</v>
      </c>
      <c r="J37" t="s">
        <v>624</v>
      </c>
      <c r="K37" t="s">
        <v>550</v>
      </c>
      <c r="L37" s="2">
        <v>45658</v>
      </c>
      <c r="M37" s="2">
        <v>45717</v>
      </c>
      <c r="N37" t="s">
        <v>551</v>
      </c>
    </row>
    <row r="38" spans="1:14" hidden="1" x14ac:dyDescent="0.3">
      <c r="A38" s="1" t="s">
        <v>661</v>
      </c>
      <c r="B38" t="s">
        <v>69</v>
      </c>
      <c r="C38" t="s">
        <v>22</v>
      </c>
      <c r="D38" t="s">
        <v>191</v>
      </c>
      <c r="E38" t="s">
        <v>606</v>
      </c>
      <c r="F38" s="3">
        <v>359346671900953</v>
      </c>
      <c r="G38" t="s">
        <v>659</v>
      </c>
      <c r="H38" t="s">
        <v>660</v>
      </c>
      <c r="I38" t="s">
        <v>589</v>
      </c>
      <c r="J38" t="s">
        <v>624</v>
      </c>
      <c r="K38" t="s">
        <v>550</v>
      </c>
      <c r="L38" s="2">
        <v>45658</v>
      </c>
      <c r="M38" s="2">
        <v>45717</v>
      </c>
      <c r="N38" t="s">
        <v>551</v>
      </c>
    </row>
    <row r="39" spans="1:14" hidden="1" x14ac:dyDescent="0.3">
      <c r="A39" s="1" t="s">
        <v>662</v>
      </c>
      <c r="B39" t="s">
        <v>67</v>
      </c>
      <c r="C39" t="s">
        <v>22</v>
      </c>
      <c r="D39" t="s">
        <v>191</v>
      </c>
      <c r="E39" t="s">
        <v>630</v>
      </c>
      <c r="F39" s="3">
        <v>358469523459878</v>
      </c>
      <c r="G39" t="s">
        <v>663</v>
      </c>
      <c r="H39" t="s">
        <v>660</v>
      </c>
      <c r="I39" t="s">
        <v>600</v>
      </c>
      <c r="J39" t="s">
        <v>624</v>
      </c>
      <c r="K39" t="s">
        <v>550</v>
      </c>
      <c r="L39" s="2">
        <v>45658</v>
      </c>
      <c r="M39" s="2">
        <v>45717</v>
      </c>
      <c r="N39" t="s">
        <v>551</v>
      </c>
    </row>
    <row r="40" spans="1:14" x14ac:dyDescent="0.3">
      <c r="A40" s="1" t="s">
        <v>664</v>
      </c>
      <c r="B40" t="s">
        <v>665</v>
      </c>
      <c r="C40" t="s">
        <v>577</v>
      </c>
      <c r="D40" t="s">
        <v>114</v>
      </c>
      <c r="E40" t="s">
        <v>666</v>
      </c>
      <c r="F40" s="3">
        <v>353036091434008</v>
      </c>
      <c r="G40" t="s">
        <v>663</v>
      </c>
      <c r="H40" t="s">
        <v>660</v>
      </c>
      <c r="I40" t="s">
        <v>600</v>
      </c>
      <c r="J40" t="s">
        <v>624</v>
      </c>
      <c r="K40" t="s">
        <v>550</v>
      </c>
      <c r="L40" s="2">
        <v>45658</v>
      </c>
      <c r="M40" s="2">
        <v>45717</v>
      </c>
      <c r="N40" t="s">
        <v>551</v>
      </c>
    </row>
    <row r="41" spans="1:14" s="54" customFormat="1" hidden="1" x14ac:dyDescent="0.3">
      <c r="A41" s="53" t="s">
        <v>667</v>
      </c>
      <c r="B41" s="54" t="s">
        <v>210</v>
      </c>
      <c r="C41" s="54" t="s">
        <v>22</v>
      </c>
      <c r="D41" s="54" t="s">
        <v>114</v>
      </c>
      <c r="E41" s="54" t="s">
        <v>649</v>
      </c>
      <c r="F41" s="55">
        <v>359552541402290</v>
      </c>
      <c r="G41" s="54" t="s">
        <v>668</v>
      </c>
      <c r="H41" s="54" t="s">
        <v>639</v>
      </c>
      <c r="I41" s="54" t="s">
        <v>589</v>
      </c>
      <c r="J41" s="54" t="s">
        <v>549</v>
      </c>
      <c r="K41" s="54" t="s">
        <v>550</v>
      </c>
      <c r="L41" s="56">
        <v>45658</v>
      </c>
      <c r="M41" s="56">
        <v>45717</v>
      </c>
      <c r="N41" s="54" t="s">
        <v>551</v>
      </c>
    </row>
    <row r="42" spans="1:14" hidden="1" x14ac:dyDescent="0.3">
      <c r="A42" s="1" t="s">
        <v>669</v>
      </c>
      <c r="B42" t="s">
        <v>71</v>
      </c>
      <c r="C42" t="s">
        <v>22</v>
      </c>
      <c r="D42" t="s">
        <v>191</v>
      </c>
      <c r="E42" t="s">
        <v>606</v>
      </c>
      <c r="F42" s="3">
        <v>359673359617900</v>
      </c>
      <c r="G42" t="s">
        <v>670</v>
      </c>
      <c r="H42" t="s">
        <v>644</v>
      </c>
      <c r="I42" t="s">
        <v>589</v>
      </c>
      <c r="J42" t="s">
        <v>590</v>
      </c>
      <c r="K42" t="s">
        <v>550</v>
      </c>
      <c r="L42" s="2">
        <v>45658</v>
      </c>
      <c r="M42" s="2">
        <v>45717</v>
      </c>
      <c r="N42" t="s">
        <v>551</v>
      </c>
    </row>
    <row r="43" spans="1:14" hidden="1" x14ac:dyDescent="0.3">
      <c r="A43" s="1" t="s">
        <v>671</v>
      </c>
      <c r="B43" t="s">
        <v>138</v>
      </c>
      <c r="C43" t="s">
        <v>22</v>
      </c>
      <c r="D43" t="s">
        <v>114</v>
      </c>
      <c r="E43" t="s">
        <v>649</v>
      </c>
      <c r="F43" s="3">
        <v>350698365612057</v>
      </c>
      <c r="G43" t="s">
        <v>670</v>
      </c>
      <c r="H43" t="s">
        <v>644</v>
      </c>
      <c r="I43" t="s">
        <v>589</v>
      </c>
      <c r="J43" t="s">
        <v>590</v>
      </c>
      <c r="K43" t="s">
        <v>550</v>
      </c>
      <c r="L43" s="2">
        <v>45658</v>
      </c>
      <c r="M43" s="2">
        <v>45717</v>
      </c>
      <c r="N43" t="s">
        <v>551</v>
      </c>
    </row>
    <row r="44" spans="1:14" hidden="1" x14ac:dyDescent="0.3">
      <c r="A44" s="1" t="s">
        <v>672</v>
      </c>
      <c r="B44" t="s">
        <v>149</v>
      </c>
      <c r="C44" t="s">
        <v>22</v>
      </c>
      <c r="D44" t="s">
        <v>191</v>
      </c>
      <c r="E44" t="s">
        <v>630</v>
      </c>
      <c r="F44" s="3">
        <v>358091652946366</v>
      </c>
      <c r="G44" t="s">
        <v>673</v>
      </c>
      <c r="H44" t="s">
        <v>644</v>
      </c>
      <c r="I44" t="s">
        <v>600</v>
      </c>
      <c r="J44" t="s">
        <v>590</v>
      </c>
      <c r="K44" t="s">
        <v>550</v>
      </c>
      <c r="L44" s="2">
        <v>45658</v>
      </c>
      <c r="M44" s="2">
        <v>45717</v>
      </c>
      <c r="N44" t="s">
        <v>551</v>
      </c>
    </row>
    <row r="45" spans="1:14" hidden="1" x14ac:dyDescent="0.3">
      <c r="A45" s="1" t="s">
        <v>674</v>
      </c>
      <c r="B45" t="s">
        <v>33</v>
      </c>
      <c r="C45" t="s">
        <v>22</v>
      </c>
      <c r="D45" t="s">
        <v>191</v>
      </c>
      <c r="E45" t="s">
        <v>630</v>
      </c>
      <c r="F45" s="3">
        <v>358469523212749</v>
      </c>
      <c r="G45" t="s">
        <v>675</v>
      </c>
      <c r="H45" t="s">
        <v>632</v>
      </c>
      <c r="I45" t="s">
        <v>600</v>
      </c>
      <c r="J45" t="s">
        <v>617</v>
      </c>
      <c r="K45" t="s">
        <v>550</v>
      </c>
      <c r="L45" s="2">
        <v>45658</v>
      </c>
      <c r="M45" s="2">
        <v>45717</v>
      </c>
      <c r="N45" t="s">
        <v>551</v>
      </c>
    </row>
    <row r="46" spans="1:14" hidden="1" x14ac:dyDescent="0.3">
      <c r="A46" s="1" t="s">
        <v>676</v>
      </c>
      <c r="B46" t="s">
        <v>53</v>
      </c>
      <c r="C46" t="s">
        <v>22</v>
      </c>
      <c r="D46" t="s">
        <v>114</v>
      </c>
      <c r="E46" t="s">
        <v>649</v>
      </c>
      <c r="F46" s="3">
        <v>351036279079825</v>
      </c>
      <c r="G46" t="s">
        <v>675</v>
      </c>
      <c r="H46" t="s">
        <v>632</v>
      </c>
      <c r="I46" t="s">
        <v>600</v>
      </c>
      <c r="J46" t="s">
        <v>617</v>
      </c>
      <c r="K46" t="s">
        <v>550</v>
      </c>
      <c r="L46" s="2">
        <v>45658</v>
      </c>
      <c r="M46" s="2">
        <v>45717</v>
      </c>
      <c r="N46" t="s">
        <v>551</v>
      </c>
    </row>
    <row r="47" spans="1:14" hidden="1" x14ac:dyDescent="0.3">
      <c r="A47" s="1" t="s">
        <v>677</v>
      </c>
      <c r="B47" t="s">
        <v>147</v>
      </c>
      <c r="C47" t="s">
        <v>22</v>
      </c>
      <c r="D47" t="s">
        <v>191</v>
      </c>
      <c r="E47" t="s">
        <v>630</v>
      </c>
      <c r="F47" s="3">
        <v>358891503498404</v>
      </c>
      <c r="G47" t="s">
        <v>678</v>
      </c>
      <c r="H47" t="s">
        <v>632</v>
      </c>
      <c r="I47" t="s">
        <v>589</v>
      </c>
      <c r="J47" t="s">
        <v>617</v>
      </c>
      <c r="K47" t="s">
        <v>550</v>
      </c>
      <c r="L47" s="2">
        <v>45658</v>
      </c>
      <c r="M47" s="2">
        <v>45717</v>
      </c>
      <c r="N47" t="s">
        <v>551</v>
      </c>
    </row>
    <row r="48" spans="1:14" x14ac:dyDescent="0.3">
      <c r="A48" s="1" t="s">
        <v>679</v>
      </c>
      <c r="B48" t="s">
        <v>680</v>
      </c>
      <c r="C48" t="s">
        <v>577</v>
      </c>
      <c r="D48" t="s">
        <v>114</v>
      </c>
      <c r="E48" t="s">
        <v>578</v>
      </c>
      <c r="F48" s="3">
        <v>356747113348383</v>
      </c>
      <c r="G48" t="s">
        <v>678</v>
      </c>
      <c r="H48" t="s">
        <v>632</v>
      </c>
      <c r="I48" t="s">
        <v>589</v>
      </c>
      <c r="J48" t="s">
        <v>617</v>
      </c>
      <c r="K48" t="s">
        <v>550</v>
      </c>
      <c r="L48" s="2">
        <v>45658</v>
      </c>
      <c r="M48" s="2">
        <v>45717</v>
      </c>
      <c r="N48" t="s">
        <v>551</v>
      </c>
    </row>
    <row r="49" spans="1:15" hidden="1" x14ac:dyDescent="0.3">
      <c r="A49" s="1" t="s">
        <v>681</v>
      </c>
      <c r="B49" t="s">
        <v>169</v>
      </c>
      <c r="C49" t="s">
        <v>22</v>
      </c>
      <c r="D49" t="s">
        <v>191</v>
      </c>
      <c r="E49" t="s">
        <v>630</v>
      </c>
      <c r="F49" s="3">
        <v>358091652425510</v>
      </c>
      <c r="G49" t="s">
        <v>682</v>
      </c>
      <c r="H49" t="s">
        <v>639</v>
      </c>
      <c r="I49" t="s">
        <v>589</v>
      </c>
      <c r="J49" t="s">
        <v>549</v>
      </c>
      <c r="K49" t="s">
        <v>550</v>
      </c>
      <c r="L49" s="2">
        <v>45658</v>
      </c>
      <c r="M49" s="2">
        <v>45717</v>
      </c>
      <c r="N49" t="s">
        <v>551</v>
      </c>
    </row>
    <row r="50" spans="1:15" x14ac:dyDescent="0.3">
      <c r="A50" s="1" t="s">
        <v>683</v>
      </c>
      <c r="B50" t="s">
        <v>684</v>
      </c>
      <c r="C50" t="s">
        <v>577</v>
      </c>
      <c r="D50" t="s">
        <v>114</v>
      </c>
      <c r="E50" t="s">
        <v>578</v>
      </c>
      <c r="F50" s="3">
        <v>356747116798246</v>
      </c>
      <c r="G50" t="s">
        <v>682</v>
      </c>
      <c r="H50" t="s">
        <v>639</v>
      </c>
      <c r="I50" t="s">
        <v>589</v>
      </c>
      <c r="J50" t="s">
        <v>549</v>
      </c>
      <c r="K50" t="s">
        <v>550</v>
      </c>
      <c r="L50" s="2">
        <v>45658</v>
      </c>
      <c r="M50" s="2">
        <v>45717</v>
      </c>
      <c r="N50" t="s">
        <v>551</v>
      </c>
    </row>
    <row r="51" spans="1:15" x14ac:dyDescent="0.3">
      <c r="A51" s="1" t="s">
        <v>685</v>
      </c>
      <c r="B51" t="s">
        <v>686</v>
      </c>
      <c r="C51" t="s">
        <v>577</v>
      </c>
      <c r="D51" t="s">
        <v>114</v>
      </c>
      <c r="E51" t="s">
        <v>578</v>
      </c>
      <c r="F51" s="3">
        <v>356747116975323</v>
      </c>
      <c r="G51" t="s">
        <v>687</v>
      </c>
      <c r="H51" t="s">
        <v>660</v>
      </c>
      <c r="I51" t="s">
        <v>589</v>
      </c>
      <c r="J51" t="s">
        <v>624</v>
      </c>
      <c r="K51" t="s">
        <v>550</v>
      </c>
      <c r="L51" s="2">
        <v>45658</v>
      </c>
      <c r="M51" s="2">
        <v>45717</v>
      </c>
      <c r="N51" t="s">
        <v>551</v>
      </c>
    </row>
    <row r="52" spans="1:15" hidden="1" x14ac:dyDescent="0.3">
      <c r="A52" s="1" t="s">
        <v>688</v>
      </c>
      <c r="B52" t="s">
        <v>181</v>
      </c>
      <c r="C52" t="s">
        <v>22</v>
      </c>
      <c r="D52" t="s">
        <v>191</v>
      </c>
      <c r="E52" t="s">
        <v>630</v>
      </c>
      <c r="F52" s="3">
        <v>356815603426132</v>
      </c>
      <c r="G52" t="s">
        <v>687</v>
      </c>
      <c r="H52" t="s">
        <v>660</v>
      </c>
      <c r="I52" t="s">
        <v>589</v>
      </c>
      <c r="J52" t="s">
        <v>624</v>
      </c>
      <c r="K52" t="s">
        <v>550</v>
      </c>
      <c r="L52" s="2">
        <v>45658</v>
      </c>
      <c r="M52" s="2">
        <v>45717</v>
      </c>
      <c r="N52" t="s">
        <v>551</v>
      </c>
    </row>
    <row r="53" spans="1:15" hidden="1" x14ac:dyDescent="0.3">
      <c r="A53" s="1" t="s">
        <v>689</v>
      </c>
      <c r="B53" t="s">
        <v>233</v>
      </c>
      <c r="C53" t="s">
        <v>22</v>
      </c>
      <c r="D53" t="s">
        <v>191</v>
      </c>
      <c r="E53" t="s">
        <v>580</v>
      </c>
      <c r="F53" s="3">
        <v>353696746318607</v>
      </c>
      <c r="G53" t="s">
        <v>690</v>
      </c>
      <c r="H53" t="s">
        <v>691</v>
      </c>
      <c r="I53" t="s">
        <v>589</v>
      </c>
      <c r="J53" t="s">
        <v>549</v>
      </c>
      <c r="K53" t="s">
        <v>550</v>
      </c>
      <c r="L53" s="2">
        <v>45658</v>
      </c>
      <c r="M53" s="2">
        <v>45717</v>
      </c>
      <c r="N53" t="s">
        <v>551</v>
      </c>
    </row>
    <row r="54" spans="1:15" hidden="1" x14ac:dyDescent="0.3">
      <c r="A54" s="1" t="s">
        <v>692</v>
      </c>
      <c r="B54" t="s">
        <v>75</v>
      </c>
      <c r="C54" t="s">
        <v>22</v>
      </c>
      <c r="D54" t="s">
        <v>191</v>
      </c>
      <c r="E54" t="s">
        <v>630</v>
      </c>
      <c r="F54" s="3">
        <v>358091652408037</v>
      </c>
      <c r="G54" t="s">
        <v>693</v>
      </c>
      <c r="H54" t="s">
        <v>632</v>
      </c>
      <c r="I54" t="s">
        <v>589</v>
      </c>
      <c r="J54" t="s">
        <v>617</v>
      </c>
      <c r="K54" t="s">
        <v>550</v>
      </c>
      <c r="L54" s="2">
        <v>45658</v>
      </c>
      <c r="M54" s="2">
        <v>45717</v>
      </c>
      <c r="N54" t="s">
        <v>551</v>
      </c>
    </row>
    <row r="55" spans="1:15" x14ac:dyDescent="0.3">
      <c r="A55" s="68" t="s">
        <v>694</v>
      </c>
      <c r="B55" s="69" t="s">
        <v>695</v>
      </c>
      <c r="C55" s="69" t="s">
        <v>577</v>
      </c>
      <c r="D55" s="69" t="s">
        <v>114</v>
      </c>
      <c r="E55" s="69" t="s">
        <v>696</v>
      </c>
      <c r="F55" s="67">
        <v>355254195678622</v>
      </c>
      <c r="G55" s="31" t="s">
        <v>693</v>
      </c>
      <c r="H55" s="31" t="s">
        <v>632</v>
      </c>
      <c r="I55" s="31" t="s">
        <v>589</v>
      </c>
      <c r="J55" s="31" t="s">
        <v>617</v>
      </c>
      <c r="K55" s="31" t="s">
        <v>1025</v>
      </c>
      <c r="L55" s="2">
        <v>45658</v>
      </c>
      <c r="M55" s="2">
        <v>45717</v>
      </c>
      <c r="N55" t="s">
        <v>551</v>
      </c>
      <c r="O55" t="s">
        <v>1044</v>
      </c>
    </row>
    <row r="56" spans="1:15" hidden="1" x14ac:dyDescent="0.3">
      <c r="A56" s="1" t="s">
        <v>697</v>
      </c>
      <c r="B56" t="s">
        <v>43</v>
      </c>
      <c r="C56" t="s">
        <v>22</v>
      </c>
      <c r="D56" t="s">
        <v>114</v>
      </c>
      <c r="E56" t="s">
        <v>649</v>
      </c>
      <c r="F56" s="3">
        <v>359552545614718</v>
      </c>
      <c r="G56" t="s">
        <v>698</v>
      </c>
      <c r="H56" t="s">
        <v>639</v>
      </c>
      <c r="I56" t="s">
        <v>589</v>
      </c>
      <c r="J56" t="s">
        <v>549</v>
      </c>
      <c r="K56" t="s">
        <v>550</v>
      </c>
      <c r="L56" s="2">
        <v>45658</v>
      </c>
      <c r="M56" s="2">
        <v>45717</v>
      </c>
      <c r="N56" t="s">
        <v>551</v>
      </c>
    </row>
    <row r="57" spans="1:15" hidden="1" x14ac:dyDescent="0.3">
      <c r="A57" s="1" t="s">
        <v>699</v>
      </c>
      <c r="B57" t="s">
        <v>161</v>
      </c>
      <c r="C57" t="s">
        <v>22</v>
      </c>
      <c r="D57" t="s">
        <v>191</v>
      </c>
      <c r="E57" t="s">
        <v>580</v>
      </c>
      <c r="F57" s="3">
        <v>353547795738981</v>
      </c>
      <c r="G57" t="s">
        <v>698</v>
      </c>
      <c r="H57" t="s">
        <v>639</v>
      </c>
      <c r="I57" t="s">
        <v>589</v>
      </c>
      <c r="J57" t="s">
        <v>549</v>
      </c>
      <c r="K57" t="s">
        <v>550</v>
      </c>
      <c r="L57" s="2">
        <v>45658</v>
      </c>
      <c r="M57" s="2">
        <v>45717</v>
      </c>
      <c r="N57" t="s">
        <v>551</v>
      </c>
    </row>
    <row r="58" spans="1:15" x14ac:dyDescent="0.3">
      <c r="A58" s="70" t="s">
        <v>700</v>
      </c>
      <c r="B58" s="71" t="s">
        <v>701</v>
      </c>
      <c r="C58" s="71" t="s">
        <v>577</v>
      </c>
      <c r="D58" s="71" t="s">
        <v>114</v>
      </c>
      <c r="E58" s="71" t="s">
        <v>696</v>
      </c>
      <c r="F58" s="72">
        <v>357883402867509</v>
      </c>
      <c r="G58" s="71" t="s">
        <v>702</v>
      </c>
      <c r="H58" s="71" t="s">
        <v>644</v>
      </c>
      <c r="I58" s="71" t="s">
        <v>589</v>
      </c>
      <c r="J58" s="71" t="s">
        <v>590</v>
      </c>
      <c r="K58" s="71" t="s">
        <v>1025</v>
      </c>
      <c r="L58" s="2">
        <v>45658</v>
      </c>
      <c r="M58" s="2">
        <v>45717</v>
      </c>
      <c r="N58" t="s">
        <v>551</v>
      </c>
    </row>
    <row r="59" spans="1:15" hidden="1" x14ac:dyDescent="0.3">
      <c r="A59" s="1" t="s">
        <v>703</v>
      </c>
      <c r="B59" t="s">
        <v>183</v>
      </c>
      <c r="C59" t="s">
        <v>22</v>
      </c>
      <c r="D59" t="s">
        <v>191</v>
      </c>
      <c r="E59" t="s">
        <v>630</v>
      </c>
      <c r="F59" s="3">
        <v>350980291513736</v>
      </c>
      <c r="G59" t="s">
        <v>702</v>
      </c>
      <c r="H59" t="s">
        <v>644</v>
      </c>
      <c r="I59" t="s">
        <v>589</v>
      </c>
      <c r="J59" t="s">
        <v>590</v>
      </c>
      <c r="K59" t="s">
        <v>550</v>
      </c>
      <c r="L59" s="2">
        <v>45658</v>
      </c>
      <c r="M59" s="2">
        <v>45717</v>
      </c>
      <c r="N59" t="s">
        <v>551</v>
      </c>
    </row>
    <row r="60" spans="1:15" hidden="1" x14ac:dyDescent="0.3">
      <c r="A60" s="1" t="s">
        <v>704</v>
      </c>
      <c r="B60" t="s">
        <v>189</v>
      </c>
      <c r="C60" t="s">
        <v>22</v>
      </c>
      <c r="F60" s="3"/>
      <c r="G60" s="31" t="s">
        <v>705</v>
      </c>
      <c r="H60" t="s">
        <v>706</v>
      </c>
      <c r="I60" t="s">
        <v>589</v>
      </c>
      <c r="J60" t="s">
        <v>617</v>
      </c>
      <c r="L60" s="2"/>
      <c r="M60" s="2"/>
      <c r="O60" t="s">
        <v>707</v>
      </c>
    </row>
    <row r="61" spans="1:15" x14ac:dyDescent="0.3">
      <c r="A61" s="1" t="s">
        <v>708</v>
      </c>
      <c r="B61" t="s">
        <v>709</v>
      </c>
      <c r="C61" t="s">
        <v>577</v>
      </c>
      <c r="D61" t="s">
        <v>114</v>
      </c>
      <c r="E61" t="s">
        <v>696</v>
      </c>
      <c r="F61" s="3">
        <v>357652533500689</v>
      </c>
      <c r="G61" t="s">
        <v>710</v>
      </c>
      <c r="H61" t="s">
        <v>639</v>
      </c>
      <c r="I61" t="s">
        <v>600</v>
      </c>
      <c r="J61" t="s">
        <v>549</v>
      </c>
      <c r="K61" t="s">
        <v>550</v>
      </c>
      <c r="L61" s="2">
        <v>45658</v>
      </c>
      <c r="M61" s="2">
        <v>45717</v>
      </c>
      <c r="N61" t="s">
        <v>551</v>
      </c>
    </row>
    <row r="62" spans="1:15" hidden="1" x14ac:dyDescent="0.3">
      <c r="A62" s="1" t="s">
        <v>711</v>
      </c>
      <c r="B62" t="s">
        <v>237</v>
      </c>
      <c r="C62" t="s">
        <v>22</v>
      </c>
      <c r="D62" t="s">
        <v>114</v>
      </c>
      <c r="E62" t="s">
        <v>649</v>
      </c>
      <c r="F62" s="3">
        <v>359552541604085</v>
      </c>
      <c r="G62" t="s">
        <v>712</v>
      </c>
      <c r="H62" t="s">
        <v>639</v>
      </c>
      <c r="I62" t="s">
        <v>589</v>
      </c>
      <c r="J62" t="s">
        <v>549</v>
      </c>
      <c r="K62" t="s">
        <v>550</v>
      </c>
      <c r="L62" s="2">
        <v>45658</v>
      </c>
      <c r="M62" s="2">
        <v>45717</v>
      </c>
      <c r="N62" t="s">
        <v>551</v>
      </c>
    </row>
    <row r="63" spans="1:15" hidden="1" x14ac:dyDescent="0.3">
      <c r="A63" s="1" t="s">
        <v>713</v>
      </c>
      <c r="B63" t="s">
        <v>51</v>
      </c>
      <c r="C63" t="s">
        <v>22</v>
      </c>
      <c r="D63" t="s">
        <v>114</v>
      </c>
      <c r="E63" t="s">
        <v>649</v>
      </c>
      <c r="F63" s="3">
        <v>357652530925137</v>
      </c>
      <c r="G63" t="s">
        <v>714</v>
      </c>
      <c r="H63" t="s">
        <v>644</v>
      </c>
      <c r="I63" t="s">
        <v>589</v>
      </c>
      <c r="J63" t="s">
        <v>590</v>
      </c>
      <c r="K63" t="s">
        <v>550</v>
      </c>
      <c r="L63" s="2">
        <v>45658</v>
      </c>
      <c r="M63" s="2">
        <v>45717</v>
      </c>
      <c r="N63" t="s">
        <v>551</v>
      </c>
    </row>
    <row r="64" spans="1:15" hidden="1" x14ac:dyDescent="0.3">
      <c r="A64" s="1" t="s">
        <v>715</v>
      </c>
      <c r="B64" t="s">
        <v>105</v>
      </c>
      <c r="C64" t="s">
        <v>22</v>
      </c>
      <c r="D64" t="s">
        <v>191</v>
      </c>
      <c r="E64" t="s">
        <v>716</v>
      </c>
      <c r="F64" s="3">
        <v>351139862096055</v>
      </c>
      <c r="G64" t="s">
        <v>714</v>
      </c>
      <c r="H64" t="s">
        <v>644</v>
      </c>
      <c r="I64" t="s">
        <v>589</v>
      </c>
      <c r="J64" t="s">
        <v>590</v>
      </c>
      <c r="K64" t="s">
        <v>550</v>
      </c>
      <c r="L64" s="2">
        <v>45658</v>
      </c>
      <c r="M64" s="2">
        <v>45717</v>
      </c>
      <c r="N64" t="s">
        <v>551</v>
      </c>
    </row>
    <row r="65" spans="1:14" hidden="1" x14ac:dyDescent="0.3">
      <c r="A65" s="1" t="s">
        <v>717</v>
      </c>
      <c r="B65" t="s">
        <v>249</v>
      </c>
      <c r="C65" t="s">
        <v>22</v>
      </c>
      <c r="D65" t="s">
        <v>191</v>
      </c>
      <c r="E65" t="s">
        <v>606</v>
      </c>
      <c r="F65" s="3">
        <v>358091652248979</v>
      </c>
      <c r="G65" t="s">
        <v>718</v>
      </c>
      <c r="H65" t="s">
        <v>644</v>
      </c>
      <c r="I65" t="s">
        <v>589</v>
      </c>
      <c r="J65" t="s">
        <v>590</v>
      </c>
      <c r="K65" t="s">
        <v>550</v>
      </c>
      <c r="L65" s="2">
        <v>45658</v>
      </c>
      <c r="M65" s="2">
        <v>45717</v>
      </c>
      <c r="N65" t="s">
        <v>551</v>
      </c>
    </row>
    <row r="66" spans="1:14" x14ac:dyDescent="0.3">
      <c r="A66" s="1" t="s">
        <v>719</v>
      </c>
      <c r="B66" t="s">
        <v>720</v>
      </c>
      <c r="C66" t="s">
        <v>577</v>
      </c>
      <c r="D66" t="s">
        <v>114</v>
      </c>
      <c r="E66" t="s">
        <v>696</v>
      </c>
      <c r="F66" s="3">
        <v>359552540047567</v>
      </c>
      <c r="G66" t="s">
        <v>718</v>
      </c>
      <c r="H66" t="s">
        <v>644</v>
      </c>
      <c r="I66" t="s">
        <v>589</v>
      </c>
      <c r="J66" t="s">
        <v>590</v>
      </c>
      <c r="K66" t="s">
        <v>550</v>
      </c>
      <c r="L66" s="2">
        <v>45658</v>
      </c>
      <c r="M66" s="2">
        <v>45717</v>
      </c>
      <c r="N66" t="s">
        <v>551</v>
      </c>
    </row>
    <row r="67" spans="1:14" hidden="1" x14ac:dyDescent="0.3">
      <c r="A67" s="1" t="s">
        <v>721</v>
      </c>
      <c r="B67" t="s">
        <v>45</v>
      </c>
      <c r="C67" t="s">
        <v>22</v>
      </c>
      <c r="D67" t="s">
        <v>114</v>
      </c>
      <c r="E67" t="s">
        <v>649</v>
      </c>
      <c r="F67" s="3">
        <v>359552545484377</v>
      </c>
      <c r="G67" t="s">
        <v>722</v>
      </c>
      <c r="H67" t="s">
        <v>639</v>
      </c>
      <c r="I67" t="s">
        <v>589</v>
      </c>
      <c r="J67" t="s">
        <v>549</v>
      </c>
      <c r="K67" t="s">
        <v>550</v>
      </c>
      <c r="L67" s="2">
        <v>45658</v>
      </c>
      <c r="M67" s="2">
        <v>45717</v>
      </c>
      <c r="N67" t="s">
        <v>551</v>
      </c>
    </row>
    <row r="68" spans="1:14" hidden="1" x14ac:dyDescent="0.3">
      <c r="A68" s="1" t="s">
        <v>723</v>
      </c>
      <c r="B68" t="s">
        <v>173</v>
      </c>
      <c r="C68" t="s">
        <v>22</v>
      </c>
      <c r="D68" t="s">
        <v>191</v>
      </c>
      <c r="E68" t="s">
        <v>580</v>
      </c>
      <c r="F68" s="3">
        <v>352820547105259</v>
      </c>
      <c r="G68" t="s">
        <v>722</v>
      </c>
      <c r="H68" t="s">
        <v>639</v>
      </c>
      <c r="I68" t="s">
        <v>589</v>
      </c>
      <c r="J68" t="s">
        <v>549</v>
      </c>
      <c r="K68" t="s">
        <v>550</v>
      </c>
      <c r="L68" s="2">
        <v>45658</v>
      </c>
      <c r="M68" s="2">
        <v>45717</v>
      </c>
      <c r="N68" t="s">
        <v>551</v>
      </c>
    </row>
    <row r="69" spans="1:14" x14ac:dyDescent="0.3">
      <c r="A69" s="1" t="s">
        <v>724</v>
      </c>
      <c r="B69" t="s">
        <v>725</v>
      </c>
      <c r="C69" t="s">
        <v>577</v>
      </c>
      <c r="D69" t="s">
        <v>114</v>
      </c>
      <c r="E69" t="s">
        <v>578</v>
      </c>
      <c r="F69" s="3">
        <v>356750112980248</v>
      </c>
      <c r="G69" t="s">
        <v>726</v>
      </c>
      <c r="H69" t="s">
        <v>639</v>
      </c>
      <c r="I69" t="s">
        <v>589</v>
      </c>
      <c r="J69" t="s">
        <v>549</v>
      </c>
      <c r="K69" t="s">
        <v>550</v>
      </c>
      <c r="L69" s="2">
        <v>45658</v>
      </c>
      <c r="M69" s="2">
        <v>45717</v>
      </c>
      <c r="N69" t="s">
        <v>551</v>
      </c>
    </row>
    <row r="70" spans="1:14" hidden="1" x14ac:dyDescent="0.3">
      <c r="A70" s="1" t="s">
        <v>727</v>
      </c>
      <c r="B70" t="s">
        <v>179</v>
      </c>
      <c r="C70" t="s">
        <v>22</v>
      </c>
      <c r="D70" t="s">
        <v>191</v>
      </c>
      <c r="E70" t="s">
        <v>630</v>
      </c>
      <c r="F70" s="3">
        <v>350980291914207</v>
      </c>
      <c r="G70" t="s">
        <v>726</v>
      </c>
      <c r="H70" t="s">
        <v>639</v>
      </c>
      <c r="I70" t="s">
        <v>589</v>
      </c>
      <c r="J70" t="s">
        <v>549</v>
      </c>
      <c r="K70" t="s">
        <v>550</v>
      </c>
      <c r="L70" s="2">
        <v>45658</v>
      </c>
      <c r="M70" s="2">
        <v>45717</v>
      </c>
      <c r="N70" t="s">
        <v>551</v>
      </c>
    </row>
    <row r="71" spans="1:14" hidden="1" x14ac:dyDescent="0.3">
      <c r="A71" s="1" t="s">
        <v>728</v>
      </c>
      <c r="B71" t="s">
        <v>204</v>
      </c>
      <c r="C71" t="s">
        <v>22</v>
      </c>
      <c r="D71" t="s">
        <v>191</v>
      </c>
      <c r="E71" t="s">
        <v>606</v>
      </c>
      <c r="F71" s="3">
        <v>350980291790359</v>
      </c>
      <c r="G71" t="s">
        <v>729</v>
      </c>
      <c r="H71" t="s">
        <v>644</v>
      </c>
      <c r="I71" t="s">
        <v>589</v>
      </c>
      <c r="J71" t="s">
        <v>590</v>
      </c>
      <c r="K71" t="s">
        <v>550</v>
      </c>
      <c r="L71" s="2">
        <v>45658</v>
      </c>
      <c r="M71" s="2">
        <v>45717</v>
      </c>
      <c r="N71" t="s">
        <v>551</v>
      </c>
    </row>
    <row r="72" spans="1:14" hidden="1" x14ac:dyDescent="0.3">
      <c r="A72" s="1" t="s">
        <v>730</v>
      </c>
      <c r="B72" t="s">
        <v>239</v>
      </c>
      <c r="C72" t="s">
        <v>22</v>
      </c>
      <c r="D72" t="s">
        <v>191</v>
      </c>
      <c r="E72" t="s">
        <v>630</v>
      </c>
      <c r="F72" s="3">
        <v>358091652927259</v>
      </c>
      <c r="G72" t="s">
        <v>731</v>
      </c>
      <c r="H72" t="s">
        <v>639</v>
      </c>
      <c r="I72" t="s">
        <v>600</v>
      </c>
      <c r="J72" t="s">
        <v>549</v>
      </c>
      <c r="K72" t="s">
        <v>550</v>
      </c>
      <c r="L72" s="2">
        <v>45658</v>
      </c>
      <c r="M72" s="2">
        <v>45717</v>
      </c>
      <c r="N72" t="s">
        <v>551</v>
      </c>
    </row>
    <row r="73" spans="1:14" hidden="1" x14ac:dyDescent="0.3">
      <c r="A73" s="1" t="s">
        <v>732</v>
      </c>
      <c r="B73" t="s">
        <v>77</v>
      </c>
      <c r="C73" t="s">
        <v>22</v>
      </c>
      <c r="D73" t="s">
        <v>191</v>
      </c>
      <c r="E73" t="s">
        <v>630</v>
      </c>
      <c r="F73" s="3">
        <v>358091652253870</v>
      </c>
      <c r="G73" t="s">
        <v>733</v>
      </c>
      <c r="H73" t="s">
        <v>660</v>
      </c>
      <c r="I73" t="s">
        <v>589</v>
      </c>
      <c r="J73" t="s">
        <v>624</v>
      </c>
      <c r="K73" t="s">
        <v>550</v>
      </c>
      <c r="L73" s="2">
        <v>45658</v>
      </c>
      <c r="M73" s="2">
        <v>45717</v>
      </c>
      <c r="N73" t="s">
        <v>551</v>
      </c>
    </row>
    <row r="74" spans="1:14" x14ac:dyDescent="0.3">
      <c r="A74" s="1" t="s">
        <v>734</v>
      </c>
      <c r="B74" t="s">
        <v>735</v>
      </c>
      <c r="C74" t="s">
        <v>577</v>
      </c>
      <c r="D74" t="s">
        <v>114</v>
      </c>
      <c r="E74" t="s">
        <v>736</v>
      </c>
      <c r="F74" s="3">
        <v>354887094162445</v>
      </c>
      <c r="G74" t="s">
        <v>733</v>
      </c>
      <c r="H74" t="s">
        <v>660</v>
      </c>
      <c r="I74" t="s">
        <v>589</v>
      </c>
      <c r="J74" t="s">
        <v>624</v>
      </c>
      <c r="K74" t="s">
        <v>550</v>
      </c>
      <c r="L74" s="2">
        <v>45658</v>
      </c>
      <c r="M74" s="2">
        <v>45717</v>
      </c>
      <c r="N74" t="s">
        <v>551</v>
      </c>
    </row>
    <row r="75" spans="1:14" hidden="1" x14ac:dyDescent="0.3">
      <c r="A75" s="1" t="s">
        <v>737</v>
      </c>
      <c r="B75" t="s">
        <v>107</v>
      </c>
      <c r="C75" t="s">
        <v>22</v>
      </c>
      <c r="D75" t="s">
        <v>191</v>
      </c>
      <c r="E75" t="s">
        <v>630</v>
      </c>
      <c r="F75" s="3">
        <v>355701905876441</v>
      </c>
      <c r="G75" t="s">
        <v>738</v>
      </c>
      <c r="H75" t="s">
        <v>639</v>
      </c>
      <c r="I75" t="s">
        <v>589</v>
      </c>
      <c r="J75" t="s">
        <v>549</v>
      </c>
      <c r="K75" t="s">
        <v>550</v>
      </c>
      <c r="L75" s="2">
        <v>45658</v>
      </c>
      <c r="M75" s="2">
        <v>45717</v>
      </c>
      <c r="N75" t="s">
        <v>551</v>
      </c>
    </row>
    <row r="76" spans="1:14" hidden="1" x14ac:dyDescent="0.3">
      <c r="A76" s="1" t="s">
        <v>739</v>
      </c>
      <c r="B76" t="s">
        <v>63</v>
      </c>
      <c r="C76" t="s">
        <v>22</v>
      </c>
      <c r="D76" t="s">
        <v>191</v>
      </c>
      <c r="E76" t="s">
        <v>606</v>
      </c>
      <c r="F76" s="3">
        <v>359673358192681</v>
      </c>
      <c r="G76" t="s">
        <v>740</v>
      </c>
      <c r="H76" t="s">
        <v>660</v>
      </c>
      <c r="I76" t="s">
        <v>589</v>
      </c>
      <c r="J76" t="s">
        <v>624</v>
      </c>
      <c r="K76" t="s">
        <v>550</v>
      </c>
      <c r="L76" s="2">
        <v>45658</v>
      </c>
      <c r="M76" s="2">
        <v>45717</v>
      </c>
      <c r="N76" t="s">
        <v>551</v>
      </c>
    </row>
    <row r="77" spans="1:14" hidden="1" x14ac:dyDescent="0.3">
      <c r="A77" s="1" t="s">
        <v>741</v>
      </c>
      <c r="B77" t="s">
        <v>140</v>
      </c>
      <c r="C77" t="s">
        <v>22</v>
      </c>
      <c r="D77" t="s">
        <v>114</v>
      </c>
      <c r="E77" t="s">
        <v>649</v>
      </c>
      <c r="F77" s="3">
        <v>350698365491957</v>
      </c>
      <c r="G77" t="s">
        <v>740</v>
      </c>
      <c r="H77" t="s">
        <v>660</v>
      </c>
      <c r="I77" t="s">
        <v>589</v>
      </c>
      <c r="J77" t="s">
        <v>624</v>
      </c>
      <c r="K77" t="s">
        <v>550</v>
      </c>
      <c r="L77" s="2">
        <v>45658</v>
      </c>
      <c r="M77" s="2">
        <v>45717</v>
      </c>
      <c r="N77" t="s">
        <v>551</v>
      </c>
    </row>
    <row r="78" spans="1:14" hidden="1" x14ac:dyDescent="0.3">
      <c r="A78" s="1" t="s">
        <v>742</v>
      </c>
      <c r="B78" t="s">
        <v>59</v>
      </c>
      <c r="C78" t="s">
        <v>22</v>
      </c>
      <c r="D78" t="s">
        <v>114</v>
      </c>
      <c r="E78" t="s">
        <v>649</v>
      </c>
      <c r="F78" s="3">
        <v>357652533102288</v>
      </c>
      <c r="G78" t="s">
        <v>743</v>
      </c>
      <c r="H78" t="s">
        <v>632</v>
      </c>
      <c r="I78" t="s">
        <v>589</v>
      </c>
      <c r="J78" t="s">
        <v>617</v>
      </c>
      <c r="K78" t="s">
        <v>550</v>
      </c>
      <c r="L78" s="2">
        <v>45658</v>
      </c>
      <c r="M78" s="2">
        <v>45717</v>
      </c>
      <c r="N78" t="s">
        <v>551</v>
      </c>
    </row>
    <row r="79" spans="1:14" hidden="1" x14ac:dyDescent="0.3">
      <c r="A79" s="1" t="s">
        <v>744</v>
      </c>
      <c r="B79" t="s">
        <v>79</v>
      </c>
      <c r="C79" t="s">
        <v>22</v>
      </c>
      <c r="D79" t="s">
        <v>191</v>
      </c>
      <c r="E79" t="s">
        <v>606</v>
      </c>
      <c r="F79" s="3">
        <v>358469523073430</v>
      </c>
      <c r="G79" t="s">
        <v>743</v>
      </c>
      <c r="H79" t="s">
        <v>632</v>
      </c>
      <c r="I79" t="s">
        <v>589</v>
      </c>
      <c r="J79" t="s">
        <v>617</v>
      </c>
      <c r="K79" t="s">
        <v>550</v>
      </c>
      <c r="L79" s="2">
        <v>45658</v>
      </c>
      <c r="M79" s="2">
        <v>45717</v>
      </c>
      <c r="N79" t="s">
        <v>551</v>
      </c>
    </row>
    <row r="80" spans="1:14" hidden="1" x14ac:dyDescent="0.3">
      <c r="A80" s="1" t="s">
        <v>745</v>
      </c>
      <c r="B80" t="s">
        <v>26</v>
      </c>
      <c r="C80" t="s">
        <v>22</v>
      </c>
      <c r="D80" t="s">
        <v>191</v>
      </c>
      <c r="E80" t="s">
        <v>652</v>
      </c>
      <c r="F80" s="3">
        <v>355241389009441</v>
      </c>
      <c r="G80" t="s">
        <v>746</v>
      </c>
      <c r="H80" t="s">
        <v>632</v>
      </c>
      <c r="I80" t="s">
        <v>589</v>
      </c>
      <c r="J80" t="s">
        <v>617</v>
      </c>
      <c r="K80" t="s">
        <v>550</v>
      </c>
      <c r="L80" s="2">
        <v>45658</v>
      </c>
      <c r="M80" s="2">
        <v>45717</v>
      </c>
      <c r="N80" t="s">
        <v>551</v>
      </c>
    </row>
    <row r="81" spans="1:14" hidden="1" x14ac:dyDescent="0.3">
      <c r="A81" s="1" t="s">
        <v>747</v>
      </c>
      <c r="B81" t="s">
        <v>55</v>
      </c>
      <c r="C81" t="s">
        <v>22</v>
      </c>
      <c r="D81" t="s">
        <v>114</v>
      </c>
      <c r="E81" t="s">
        <v>649</v>
      </c>
      <c r="F81" s="3">
        <v>356134571555397</v>
      </c>
      <c r="G81" t="s">
        <v>746</v>
      </c>
      <c r="H81" t="s">
        <v>632</v>
      </c>
      <c r="I81" t="s">
        <v>589</v>
      </c>
      <c r="J81" t="s">
        <v>617</v>
      </c>
      <c r="K81" t="s">
        <v>550</v>
      </c>
      <c r="L81" s="2">
        <v>45658</v>
      </c>
      <c r="M81" s="2">
        <v>45717</v>
      </c>
      <c r="N81" t="s">
        <v>551</v>
      </c>
    </row>
    <row r="82" spans="1:14" hidden="1" x14ac:dyDescent="0.3">
      <c r="A82" s="1" t="s">
        <v>748</v>
      </c>
      <c r="B82" t="s">
        <v>129</v>
      </c>
      <c r="C82" t="s">
        <v>22</v>
      </c>
      <c r="D82" t="s">
        <v>191</v>
      </c>
      <c r="E82" t="s">
        <v>606</v>
      </c>
      <c r="F82" s="3">
        <v>358091652370831</v>
      </c>
      <c r="G82" t="s">
        <v>749</v>
      </c>
      <c r="H82" t="s">
        <v>691</v>
      </c>
      <c r="I82" t="s">
        <v>589</v>
      </c>
      <c r="J82" t="s">
        <v>549</v>
      </c>
      <c r="K82" t="s">
        <v>550</v>
      </c>
      <c r="L82" s="2">
        <v>45658</v>
      </c>
      <c r="M82" s="2">
        <v>45717</v>
      </c>
      <c r="N82" t="s">
        <v>551</v>
      </c>
    </row>
    <row r="83" spans="1:14" hidden="1" x14ac:dyDescent="0.3">
      <c r="A83" s="1" t="s">
        <v>750</v>
      </c>
      <c r="B83" t="s">
        <v>23</v>
      </c>
      <c r="C83" t="s">
        <v>22</v>
      </c>
      <c r="D83" t="s">
        <v>191</v>
      </c>
      <c r="E83" t="s">
        <v>652</v>
      </c>
      <c r="F83" s="3">
        <v>355241387671119</v>
      </c>
      <c r="G83" t="s">
        <v>751</v>
      </c>
      <c r="H83" t="s">
        <v>639</v>
      </c>
      <c r="I83" t="s">
        <v>589</v>
      </c>
      <c r="J83" t="s">
        <v>549</v>
      </c>
      <c r="K83" t="s">
        <v>550</v>
      </c>
      <c r="L83" s="2">
        <v>45658</v>
      </c>
      <c r="M83" s="2">
        <v>45717</v>
      </c>
      <c r="N83" t="s">
        <v>551</v>
      </c>
    </row>
    <row r="84" spans="1:14" hidden="1" x14ac:dyDescent="0.3">
      <c r="A84" s="1" t="s">
        <v>752</v>
      </c>
      <c r="B84" t="s">
        <v>58</v>
      </c>
      <c r="C84" t="s">
        <v>22</v>
      </c>
      <c r="D84" t="s">
        <v>114</v>
      </c>
      <c r="E84" t="s">
        <v>649</v>
      </c>
      <c r="F84" s="3">
        <v>356134571624649</v>
      </c>
      <c r="G84" t="s">
        <v>751</v>
      </c>
      <c r="H84" t="s">
        <v>639</v>
      </c>
      <c r="I84" t="s">
        <v>589</v>
      </c>
      <c r="J84" t="s">
        <v>549</v>
      </c>
      <c r="K84" t="s">
        <v>550</v>
      </c>
      <c r="L84" s="2">
        <v>45658</v>
      </c>
      <c r="M84" s="2">
        <v>45717</v>
      </c>
      <c r="N84" t="s">
        <v>551</v>
      </c>
    </row>
    <row r="85" spans="1:14" hidden="1" x14ac:dyDescent="0.3">
      <c r="A85" s="1" t="s">
        <v>753</v>
      </c>
      <c r="B85" t="s">
        <v>25</v>
      </c>
      <c r="C85" t="s">
        <v>22</v>
      </c>
      <c r="D85" t="s">
        <v>191</v>
      </c>
      <c r="E85" t="s">
        <v>652</v>
      </c>
      <c r="F85" s="3">
        <v>355241389008385</v>
      </c>
      <c r="G85" t="s">
        <v>754</v>
      </c>
      <c r="H85" t="s">
        <v>755</v>
      </c>
      <c r="I85" t="s">
        <v>589</v>
      </c>
      <c r="J85" t="s">
        <v>624</v>
      </c>
      <c r="K85" t="s">
        <v>550</v>
      </c>
      <c r="L85" s="2">
        <v>45658</v>
      </c>
      <c r="M85" s="2">
        <v>45717</v>
      </c>
      <c r="N85" t="s">
        <v>551</v>
      </c>
    </row>
    <row r="86" spans="1:14" hidden="1" x14ac:dyDescent="0.3">
      <c r="A86" s="1" t="s">
        <v>756</v>
      </c>
      <c r="B86" t="s">
        <v>57</v>
      </c>
      <c r="C86" t="s">
        <v>22</v>
      </c>
      <c r="D86" t="s">
        <v>114</v>
      </c>
      <c r="E86" t="s">
        <v>649</v>
      </c>
      <c r="F86" s="3">
        <v>356134571250718</v>
      </c>
      <c r="G86" t="s">
        <v>754</v>
      </c>
      <c r="H86" t="s">
        <v>755</v>
      </c>
      <c r="I86" t="s">
        <v>589</v>
      </c>
      <c r="J86" t="s">
        <v>624</v>
      </c>
      <c r="K86" t="s">
        <v>550</v>
      </c>
      <c r="L86" s="2">
        <v>45658</v>
      </c>
      <c r="M86" s="2">
        <v>45717</v>
      </c>
      <c r="N86" t="s">
        <v>551</v>
      </c>
    </row>
    <row r="87" spans="1:14" x14ac:dyDescent="0.3">
      <c r="A87" s="1" t="s">
        <v>757</v>
      </c>
      <c r="B87" t="s">
        <v>758</v>
      </c>
      <c r="C87" t="s">
        <v>577</v>
      </c>
      <c r="D87" t="s">
        <v>114</v>
      </c>
      <c r="E87" t="s">
        <v>696</v>
      </c>
      <c r="F87" s="3">
        <v>350698362572957</v>
      </c>
      <c r="G87" t="s">
        <v>759</v>
      </c>
      <c r="H87" t="s">
        <v>632</v>
      </c>
      <c r="I87" t="s">
        <v>589</v>
      </c>
      <c r="J87" t="s">
        <v>617</v>
      </c>
      <c r="K87" t="s">
        <v>550</v>
      </c>
      <c r="L87" s="2">
        <v>45658</v>
      </c>
      <c r="M87" s="2">
        <v>45717</v>
      </c>
      <c r="N87" t="s">
        <v>551</v>
      </c>
    </row>
    <row r="88" spans="1:14" hidden="1" x14ac:dyDescent="0.3">
      <c r="A88" s="21">
        <v>246</v>
      </c>
      <c r="B88" s="21" t="s">
        <v>257</v>
      </c>
      <c r="C88" s="21" t="s">
        <v>22</v>
      </c>
      <c r="D88" s="21" t="s">
        <v>191</v>
      </c>
      <c r="E88" s="21" t="s">
        <v>760</v>
      </c>
      <c r="F88" s="3">
        <v>354807370356289</v>
      </c>
      <c r="G88" s="21" t="s">
        <v>761</v>
      </c>
      <c r="H88" s="21" t="s">
        <v>762</v>
      </c>
      <c r="I88" s="21" t="s">
        <v>589</v>
      </c>
      <c r="J88" s="21" t="s">
        <v>590</v>
      </c>
      <c r="K88" s="21" t="s">
        <v>550</v>
      </c>
      <c r="L88" s="22">
        <v>45658</v>
      </c>
      <c r="M88" s="22">
        <v>45717</v>
      </c>
      <c r="N88" s="21" t="s">
        <v>551</v>
      </c>
    </row>
    <row r="89" spans="1:14" hidden="1" x14ac:dyDescent="0.3">
      <c r="A89" s="1" t="s">
        <v>763</v>
      </c>
      <c r="B89" t="s">
        <v>103</v>
      </c>
      <c r="C89" t="s">
        <v>22</v>
      </c>
      <c r="D89" t="s">
        <v>191</v>
      </c>
      <c r="E89" t="s">
        <v>580</v>
      </c>
      <c r="F89" s="3">
        <v>353696749029201</v>
      </c>
      <c r="G89" t="s">
        <v>764</v>
      </c>
      <c r="H89" t="s">
        <v>706</v>
      </c>
      <c r="I89" t="s">
        <v>589</v>
      </c>
      <c r="J89" t="s">
        <v>617</v>
      </c>
      <c r="K89" t="s">
        <v>550</v>
      </c>
      <c r="L89" s="2">
        <v>45658</v>
      </c>
      <c r="M89" s="2">
        <v>45717</v>
      </c>
      <c r="N89" t="s">
        <v>551</v>
      </c>
    </row>
    <row r="90" spans="1:14" x14ac:dyDescent="0.3">
      <c r="A90" s="1" t="s">
        <v>765</v>
      </c>
      <c r="B90" t="s">
        <v>766</v>
      </c>
      <c r="C90" t="s">
        <v>577</v>
      </c>
      <c r="D90" t="s">
        <v>191</v>
      </c>
      <c r="E90" t="s">
        <v>767</v>
      </c>
      <c r="F90" s="3">
        <v>351001682973048</v>
      </c>
      <c r="G90" t="s">
        <v>768</v>
      </c>
      <c r="H90" t="s">
        <v>639</v>
      </c>
      <c r="I90" t="s">
        <v>589</v>
      </c>
      <c r="J90" t="s">
        <v>549</v>
      </c>
      <c r="K90" t="s">
        <v>550</v>
      </c>
      <c r="L90" s="2">
        <v>45658</v>
      </c>
      <c r="M90" s="2">
        <v>45717</v>
      </c>
      <c r="N90" t="s">
        <v>551</v>
      </c>
    </row>
    <row r="91" spans="1:14" x14ac:dyDescent="0.3">
      <c r="A91" s="1" t="s">
        <v>769</v>
      </c>
      <c r="B91" t="s">
        <v>770</v>
      </c>
      <c r="C91" t="s">
        <v>577</v>
      </c>
      <c r="D91" t="s">
        <v>114</v>
      </c>
      <c r="E91" t="s">
        <v>696</v>
      </c>
      <c r="F91" s="3">
        <v>357883402125478</v>
      </c>
      <c r="G91" t="s">
        <v>768</v>
      </c>
      <c r="H91" t="s">
        <v>639</v>
      </c>
      <c r="I91" t="s">
        <v>589</v>
      </c>
      <c r="J91" t="s">
        <v>549</v>
      </c>
      <c r="K91" t="s">
        <v>550</v>
      </c>
      <c r="L91" s="2">
        <v>45658</v>
      </c>
      <c r="M91" s="2">
        <v>45717</v>
      </c>
      <c r="N91" t="s">
        <v>551</v>
      </c>
    </row>
    <row r="92" spans="1:14" hidden="1" x14ac:dyDescent="0.3">
      <c r="A92" s="1" t="s">
        <v>771</v>
      </c>
      <c r="B92" t="s">
        <v>115</v>
      </c>
      <c r="C92" t="s">
        <v>22</v>
      </c>
      <c r="D92" t="s">
        <v>114</v>
      </c>
      <c r="E92" t="s">
        <v>696</v>
      </c>
      <c r="F92" s="3">
        <v>357883402696494</v>
      </c>
      <c r="G92" t="s">
        <v>772</v>
      </c>
      <c r="H92" t="s">
        <v>773</v>
      </c>
      <c r="I92" t="s">
        <v>589</v>
      </c>
      <c r="J92" t="s">
        <v>549</v>
      </c>
      <c r="K92" t="s">
        <v>550</v>
      </c>
      <c r="L92" s="2">
        <v>45658</v>
      </c>
      <c r="M92" s="2">
        <v>45717</v>
      </c>
      <c r="N92" t="s">
        <v>551</v>
      </c>
    </row>
    <row r="93" spans="1:14" hidden="1" x14ac:dyDescent="0.3">
      <c r="A93" s="1" t="s">
        <v>774</v>
      </c>
      <c r="B93" t="s">
        <v>199</v>
      </c>
      <c r="C93" t="s">
        <v>22</v>
      </c>
      <c r="D93" t="s">
        <v>191</v>
      </c>
      <c r="E93" t="s">
        <v>775</v>
      </c>
      <c r="F93" s="3">
        <v>350839224004728</v>
      </c>
      <c r="G93" t="s">
        <v>772</v>
      </c>
      <c r="H93" t="s">
        <v>773</v>
      </c>
      <c r="I93" t="s">
        <v>589</v>
      </c>
      <c r="J93" t="s">
        <v>549</v>
      </c>
      <c r="K93" t="s">
        <v>550</v>
      </c>
      <c r="L93" s="2">
        <v>45658</v>
      </c>
      <c r="M93" s="2">
        <v>45717</v>
      </c>
      <c r="N93" t="s">
        <v>551</v>
      </c>
    </row>
    <row r="94" spans="1:14" hidden="1" x14ac:dyDescent="0.3">
      <c r="A94" s="1" t="s">
        <v>776</v>
      </c>
      <c r="B94" t="s">
        <v>144</v>
      </c>
      <c r="C94" t="s">
        <v>22</v>
      </c>
      <c r="D94" t="s">
        <v>191</v>
      </c>
      <c r="E94" t="s">
        <v>606</v>
      </c>
      <c r="F94" s="3">
        <v>351829684067157</v>
      </c>
      <c r="G94" t="s">
        <v>777</v>
      </c>
      <c r="H94" t="s">
        <v>639</v>
      </c>
      <c r="I94" t="s">
        <v>589</v>
      </c>
      <c r="J94" t="s">
        <v>549</v>
      </c>
      <c r="K94" t="s">
        <v>550</v>
      </c>
      <c r="L94" s="2">
        <v>45658</v>
      </c>
      <c r="M94" s="2">
        <v>45717</v>
      </c>
      <c r="N94" t="s">
        <v>551</v>
      </c>
    </row>
    <row r="95" spans="1:14" x14ac:dyDescent="0.3">
      <c r="A95" s="1" t="s">
        <v>778</v>
      </c>
      <c r="B95" t="s">
        <v>779</v>
      </c>
      <c r="C95" t="s">
        <v>577</v>
      </c>
      <c r="D95" t="s">
        <v>585</v>
      </c>
      <c r="E95" t="s">
        <v>586</v>
      </c>
      <c r="F95" s="3">
        <v>355978840939803</v>
      </c>
      <c r="G95" t="s">
        <v>777</v>
      </c>
      <c r="H95" t="s">
        <v>639</v>
      </c>
      <c r="I95" t="s">
        <v>589</v>
      </c>
      <c r="J95" t="s">
        <v>549</v>
      </c>
      <c r="K95" t="s">
        <v>550</v>
      </c>
      <c r="L95" s="2">
        <v>45658</v>
      </c>
      <c r="M95" s="2">
        <v>45717</v>
      </c>
      <c r="N95" t="s">
        <v>551</v>
      </c>
    </row>
    <row r="96" spans="1:14" hidden="1" x14ac:dyDescent="0.3">
      <c r="A96" s="1" t="s">
        <v>780</v>
      </c>
      <c r="B96" t="s">
        <v>142</v>
      </c>
      <c r="C96" t="s">
        <v>22</v>
      </c>
      <c r="D96" t="s">
        <v>114</v>
      </c>
      <c r="E96" t="s">
        <v>649</v>
      </c>
      <c r="F96" s="3">
        <v>350698365094306</v>
      </c>
      <c r="G96" t="s">
        <v>781</v>
      </c>
      <c r="H96" t="s">
        <v>660</v>
      </c>
      <c r="I96" t="s">
        <v>589</v>
      </c>
      <c r="J96" t="s">
        <v>624</v>
      </c>
      <c r="K96" t="s">
        <v>550</v>
      </c>
      <c r="L96" s="2">
        <v>45658</v>
      </c>
      <c r="M96" s="2">
        <v>45717</v>
      </c>
      <c r="N96" t="s">
        <v>551</v>
      </c>
    </row>
    <row r="97" spans="1:16" hidden="1" x14ac:dyDescent="0.3">
      <c r="A97" s="1" t="s">
        <v>782</v>
      </c>
      <c r="B97" t="s">
        <v>65</v>
      </c>
      <c r="C97" t="s">
        <v>22</v>
      </c>
      <c r="D97" t="s">
        <v>191</v>
      </c>
      <c r="E97" t="s">
        <v>630</v>
      </c>
      <c r="F97" s="3">
        <v>359673359488781</v>
      </c>
      <c r="G97" t="s">
        <v>781</v>
      </c>
      <c r="H97" t="s">
        <v>660</v>
      </c>
      <c r="I97" t="s">
        <v>589</v>
      </c>
      <c r="J97" t="s">
        <v>624</v>
      </c>
      <c r="K97" t="s">
        <v>550</v>
      </c>
      <c r="L97" s="2">
        <v>45658</v>
      </c>
      <c r="M97" s="2">
        <v>45717</v>
      </c>
      <c r="N97" t="s">
        <v>551</v>
      </c>
    </row>
    <row r="98" spans="1:16" hidden="1" x14ac:dyDescent="0.3">
      <c r="A98" s="1" t="s">
        <v>783</v>
      </c>
      <c r="B98" t="s">
        <v>91</v>
      </c>
      <c r="C98" t="s">
        <v>22</v>
      </c>
      <c r="D98" t="s">
        <v>114</v>
      </c>
      <c r="E98" t="s">
        <v>649</v>
      </c>
      <c r="F98" s="3">
        <v>359552541123334</v>
      </c>
      <c r="G98" t="s">
        <v>784</v>
      </c>
      <c r="H98" t="s">
        <v>644</v>
      </c>
      <c r="I98" t="s">
        <v>589</v>
      </c>
      <c r="J98" t="s">
        <v>590</v>
      </c>
      <c r="K98" t="s">
        <v>550</v>
      </c>
      <c r="L98" s="2">
        <v>45658</v>
      </c>
      <c r="M98" s="2">
        <v>45717</v>
      </c>
      <c r="N98" t="s">
        <v>551</v>
      </c>
      <c r="O98" s="4" t="s">
        <v>785</v>
      </c>
    </row>
    <row r="99" spans="1:16" x14ac:dyDescent="0.3">
      <c r="A99" s="1" t="s">
        <v>786</v>
      </c>
      <c r="B99" t="s">
        <v>787</v>
      </c>
      <c r="C99" t="s">
        <v>577</v>
      </c>
      <c r="D99" t="s">
        <v>585</v>
      </c>
      <c r="E99" t="s">
        <v>586</v>
      </c>
      <c r="F99" s="3">
        <v>355978840923146</v>
      </c>
      <c r="G99" t="s">
        <v>788</v>
      </c>
      <c r="H99" t="s">
        <v>582</v>
      </c>
      <c r="I99" t="s">
        <v>589</v>
      </c>
      <c r="J99" t="s">
        <v>549</v>
      </c>
      <c r="K99" t="s">
        <v>550</v>
      </c>
      <c r="L99" s="2">
        <v>45658</v>
      </c>
      <c r="M99" s="2">
        <v>45717</v>
      </c>
      <c r="N99" t="s">
        <v>551</v>
      </c>
      <c r="P99" t="s">
        <v>566</v>
      </c>
    </row>
    <row r="100" spans="1:16" hidden="1" x14ac:dyDescent="0.3">
      <c r="A100" s="1" t="s">
        <v>789</v>
      </c>
      <c r="B100" t="s">
        <v>213</v>
      </c>
      <c r="C100" t="s">
        <v>22</v>
      </c>
      <c r="D100" t="s">
        <v>191</v>
      </c>
      <c r="E100" t="s">
        <v>606</v>
      </c>
      <c r="F100" s="3">
        <v>357084344468932</v>
      </c>
      <c r="G100" t="s">
        <v>790</v>
      </c>
      <c r="H100" t="s">
        <v>582</v>
      </c>
      <c r="I100" t="s">
        <v>589</v>
      </c>
      <c r="J100" t="s">
        <v>549</v>
      </c>
      <c r="K100" t="s">
        <v>550</v>
      </c>
      <c r="L100" s="2">
        <v>45658</v>
      </c>
      <c r="M100" s="2">
        <v>45717</v>
      </c>
      <c r="N100" t="s">
        <v>551</v>
      </c>
      <c r="P100" t="s">
        <v>566</v>
      </c>
    </row>
    <row r="101" spans="1:16" hidden="1" x14ac:dyDescent="0.3">
      <c r="A101" s="1" t="s">
        <v>791</v>
      </c>
      <c r="B101" t="s">
        <v>175</v>
      </c>
      <c r="C101" t="s">
        <v>22</v>
      </c>
      <c r="D101" t="s">
        <v>585</v>
      </c>
      <c r="E101" t="s">
        <v>586</v>
      </c>
      <c r="F101" s="3">
        <v>355978840889404</v>
      </c>
      <c r="G101" t="s">
        <v>792</v>
      </c>
      <c r="H101" t="s">
        <v>597</v>
      </c>
      <c r="I101" t="s">
        <v>589</v>
      </c>
      <c r="J101" t="s">
        <v>549</v>
      </c>
      <c r="K101" t="s">
        <v>550</v>
      </c>
      <c r="L101" s="2">
        <v>45658</v>
      </c>
      <c r="M101" s="2">
        <v>45717</v>
      </c>
      <c r="N101" t="s">
        <v>551</v>
      </c>
    </row>
    <row r="102" spans="1:16" hidden="1" x14ac:dyDescent="0.3">
      <c r="A102" s="32" t="s">
        <v>382</v>
      </c>
      <c r="B102" s="28" t="s">
        <v>185</v>
      </c>
      <c r="C102" s="28" t="s">
        <v>22</v>
      </c>
      <c r="D102" s="28" t="s">
        <v>585</v>
      </c>
      <c r="E102" s="28" t="s">
        <v>586</v>
      </c>
      <c r="F102" s="29">
        <v>355978840929473</v>
      </c>
      <c r="G102" s="28" t="s">
        <v>793</v>
      </c>
      <c r="H102" s="28" t="s">
        <v>597</v>
      </c>
      <c r="I102" s="28" t="s">
        <v>589</v>
      </c>
      <c r="J102" s="28" t="s">
        <v>549</v>
      </c>
      <c r="K102" s="28" t="s">
        <v>550</v>
      </c>
      <c r="L102" s="33">
        <v>45658</v>
      </c>
      <c r="M102" s="33">
        <v>45717</v>
      </c>
      <c r="N102" s="28" t="s">
        <v>551</v>
      </c>
    </row>
    <row r="103" spans="1:16" x14ac:dyDescent="0.3">
      <c r="A103" s="1" t="s">
        <v>794</v>
      </c>
      <c r="B103" t="s">
        <v>795</v>
      </c>
      <c r="C103" t="s">
        <v>577</v>
      </c>
      <c r="D103" t="s">
        <v>585</v>
      </c>
      <c r="E103" t="s">
        <v>586</v>
      </c>
      <c r="F103" s="3">
        <v>355978840939845</v>
      </c>
      <c r="G103" t="s">
        <v>796</v>
      </c>
      <c r="H103" t="s">
        <v>597</v>
      </c>
      <c r="I103" t="s">
        <v>589</v>
      </c>
      <c r="J103" t="s">
        <v>549</v>
      </c>
      <c r="K103" t="s">
        <v>550</v>
      </c>
      <c r="L103" s="2">
        <v>45658</v>
      </c>
      <c r="M103" s="2">
        <v>45717</v>
      </c>
      <c r="N103" t="s">
        <v>551</v>
      </c>
      <c r="O103" t="s">
        <v>797</v>
      </c>
    </row>
    <row r="104" spans="1:16" x14ac:dyDescent="0.3">
      <c r="A104" s="1" t="s">
        <v>383</v>
      </c>
      <c r="B104" t="s">
        <v>798</v>
      </c>
      <c r="C104" t="s">
        <v>577</v>
      </c>
      <c r="D104" t="s">
        <v>114</v>
      </c>
      <c r="E104" t="s">
        <v>799</v>
      </c>
      <c r="F104" s="3">
        <v>353205104482748</v>
      </c>
      <c r="G104" t="s">
        <v>731</v>
      </c>
      <c r="H104" t="s">
        <v>639</v>
      </c>
      <c r="I104" t="s">
        <v>600</v>
      </c>
      <c r="J104" t="s">
        <v>549</v>
      </c>
      <c r="K104" t="s">
        <v>550</v>
      </c>
      <c r="L104" s="2">
        <v>45658</v>
      </c>
      <c r="M104" s="2">
        <v>45717</v>
      </c>
      <c r="N104" t="s">
        <v>551</v>
      </c>
    </row>
    <row r="105" spans="1:16" hidden="1" x14ac:dyDescent="0.3">
      <c r="A105" s="1" t="s">
        <v>800</v>
      </c>
      <c r="B105" t="s">
        <v>155</v>
      </c>
      <c r="C105" t="s">
        <v>22</v>
      </c>
      <c r="D105" t="s">
        <v>191</v>
      </c>
      <c r="E105" t="s">
        <v>801</v>
      </c>
      <c r="F105" s="3">
        <v>359735196551665</v>
      </c>
      <c r="G105" t="s">
        <v>802</v>
      </c>
      <c r="H105" t="s">
        <v>803</v>
      </c>
      <c r="I105" t="s">
        <v>548</v>
      </c>
      <c r="J105" t="s">
        <v>549</v>
      </c>
      <c r="K105" t="s">
        <v>550</v>
      </c>
      <c r="L105" s="2">
        <v>45658</v>
      </c>
      <c r="M105" s="2">
        <v>45717</v>
      </c>
      <c r="N105" t="s">
        <v>551</v>
      </c>
      <c r="O105" t="s">
        <v>804</v>
      </c>
    </row>
    <row r="106" spans="1:16" hidden="1" x14ac:dyDescent="0.3">
      <c r="A106" s="1" t="s">
        <v>384</v>
      </c>
      <c r="B106" t="s">
        <v>247</v>
      </c>
      <c r="C106" t="s">
        <v>22</v>
      </c>
      <c r="D106" t="s">
        <v>585</v>
      </c>
      <c r="E106" t="s">
        <v>586</v>
      </c>
      <c r="F106" s="3">
        <v>355978840934853</v>
      </c>
      <c r="G106" t="s">
        <v>805</v>
      </c>
      <c r="H106" t="s">
        <v>616</v>
      </c>
      <c r="I106" t="s">
        <v>589</v>
      </c>
      <c r="J106" t="s">
        <v>617</v>
      </c>
      <c r="K106" t="s">
        <v>550</v>
      </c>
      <c r="L106" s="2">
        <v>45658</v>
      </c>
      <c r="M106" s="2">
        <v>45717</v>
      </c>
      <c r="N106" t="s">
        <v>551</v>
      </c>
    </row>
    <row r="107" spans="1:16" x14ac:dyDescent="0.3">
      <c r="A107" s="1" t="s">
        <v>806</v>
      </c>
      <c r="B107" t="s">
        <v>807</v>
      </c>
      <c r="C107" t="s">
        <v>577</v>
      </c>
      <c r="D107" t="s">
        <v>585</v>
      </c>
      <c r="E107" t="s">
        <v>586</v>
      </c>
      <c r="F107" s="3">
        <v>355978840945222</v>
      </c>
      <c r="G107" t="s">
        <v>808</v>
      </c>
      <c r="H107" t="s">
        <v>616</v>
      </c>
      <c r="I107" t="s">
        <v>589</v>
      </c>
      <c r="J107" t="s">
        <v>617</v>
      </c>
      <c r="K107" t="s">
        <v>550</v>
      </c>
      <c r="L107" s="2">
        <v>45658</v>
      </c>
      <c r="M107" s="2">
        <v>45717</v>
      </c>
      <c r="N107" t="s">
        <v>551</v>
      </c>
      <c r="O107" t="s">
        <v>809</v>
      </c>
    </row>
    <row r="108" spans="1:16" x14ac:dyDescent="0.3">
      <c r="A108" s="1" t="s">
        <v>385</v>
      </c>
      <c r="B108" t="s">
        <v>810</v>
      </c>
      <c r="C108" t="s">
        <v>577</v>
      </c>
      <c r="D108" t="s">
        <v>114</v>
      </c>
      <c r="E108" t="s">
        <v>696</v>
      </c>
      <c r="F108" s="3">
        <v>350698362550466</v>
      </c>
      <c r="G108" t="s">
        <v>631</v>
      </c>
      <c r="H108" t="s">
        <v>632</v>
      </c>
      <c r="I108" t="s">
        <v>589</v>
      </c>
      <c r="J108" t="s">
        <v>617</v>
      </c>
      <c r="K108" t="s">
        <v>550</v>
      </c>
      <c r="L108" s="2">
        <v>45658</v>
      </c>
      <c r="M108" s="2">
        <v>45717</v>
      </c>
      <c r="N108" t="s">
        <v>551</v>
      </c>
      <c r="O108" s="4" t="s">
        <v>811</v>
      </c>
    </row>
    <row r="109" spans="1:16" s="54" customFormat="1" x14ac:dyDescent="0.3">
      <c r="A109" s="53" t="s">
        <v>812</v>
      </c>
      <c r="B109" s="54" t="s">
        <v>212</v>
      </c>
      <c r="C109" s="54" t="s">
        <v>577</v>
      </c>
      <c r="D109" s="54" t="s">
        <v>191</v>
      </c>
      <c r="E109" s="54" t="s">
        <v>813</v>
      </c>
      <c r="F109" s="55">
        <v>351139862265361</v>
      </c>
      <c r="G109" s="54" t="s">
        <v>668</v>
      </c>
      <c r="H109" s="54" t="s">
        <v>639</v>
      </c>
      <c r="I109" s="54" t="s">
        <v>589</v>
      </c>
      <c r="J109" s="54" t="s">
        <v>549</v>
      </c>
      <c r="K109" s="54" t="s">
        <v>550</v>
      </c>
      <c r="L109" s="56">
        <v>45658</v>
      </c>
      <c r="M109" s="56">
        <v>45717</v>
      </c>
      <c r="N109" s="54" t="s">
        <v>551</v>
      </c>
    </row>
    <row r="110" spans="1:16" x14ac:dyDescent="0.3">
      <c r="A110" s="1" t="s">
        <v>386</v>
      </c>
      <c r="B110" t="s">
        <v>814</v>
      </c>
      <c r="C110" t="s">
        <v>577</v>
      </c>
      <c r="D110" t="s">
        <v>114</v>
      </c>
      <c r="E110" t="s">
        <v>799</v>
      </c>
      <c r="F110" s="3">
        <v>353204105703897</v>
      </c>
      <c r="G110" t="s">
        <v>673</v>
      </c>
      <c r="H110" t="s">
        <v>644</v>
      </c>
      <c r="I110" t="s">
        <v>600</v>
      </c>
      <c r="J110" t="s">
        <v>590</v>
      </c>
      <c r="K110" t="s">
        <v>550</v>
      </c>
      <c r="L110" s="2">
        <v>45658</v>
      </c>
      <c r="M110" s="2">
        <v>45717</v>
      </c>
      <c r="N110" t="s">
        <v>551</v>
      </c>
      <c r="O110" s="4" t="s">
        <v>815</v>
      </c>
    </row>
    <row r="111" spans="1:16" hidden="1" x14ac:dyDescent="0.3">
      <c r="A111" s="1" t="s">
        <v>816</v>
      </c>
      <c r="B111" t="s">
        <v>171</v>
      </c>
      <c r="C111" t="s">
        <v>22</v>
      </c>
      <c r="D111" t="s">
        <v>191</v>
      </c>
      <c r="E111" t="s">
        <v>606</v>
      </c>
      <c r="F111" s="3">
        <v>350980291515202</v>
      </c>
      <c r="G111" t="s">
        <v>817</v>
      </c>
      <c r="H111" t="s">
        <v>644</v>
      </c>
      <c r="I111" t="s">
        <v>589</v>
      </c>
      <c r="J111" t="s">
        <v>590</v>
      </c>
      <c r="K111" t="s">
        <v>550</v>
      </c>
      <c r="L111" s="2">
        <v>45658</v>
      </c>
      <c r="M111" s="2">
        <v>45717</v>
      </c>
      <c r="N111" t="s">
        <v>551</v>
      </c>
    </row>
    <row r="112" spans="1:16" x14ac:dyDescent="0.3">
      <c r="A112" s="1" t="s">
        <v>387</v>
      </c>
      <c r="B112" t="s">
        <v>818</v>
      </c>
      <c r="C112" t="s">
        <v>577</v>
      </c>
      <c r="D112" t="s">
        <v>114</v>
      </c>
      <c r="E112" t="s">
        <v>819</v>
      </c>
      <c r="F112" s="3">
        <v>359552541123334</v>
      </c>
      <c r="G112" t="s">
        <v>817</v>
      </c>
      <c r="H112" t="s">
        <v>644</v>
      </c>
      <c r="I112" t="s">
        <v>589</v>
      </c>
      <c r="J112" t="s">
        <v>590</v>
      </c>
      <c r="K112" t="s">
        <v>550</v>
      </c>
      <c r="L112" s="2">
        <v>45658</v>
      </c>
      <c r="M112" s="2">
        <v>45717</v>
      </c>
      <c r="N112" t="s">
        <v>551</v>
      </c>
      <c r="O112" s="4" t="s">
        <v>820</v>
      </c>
    </row>
    <row r="113" spans="1:16" hidden="1" x14ac:dyDescent="0.3">
      <c r="A113" s="1" t="s">
        <v>821</v>
      </c>
      <c r="B113" s="8" t="s">
        <v>151</v>
      </c>
      <c r="C113" s="8"/>
      <c r="D113" s="8"/>
      <c r="E113" s="8"/>
      <c r="F113" s="3">
        <v>355103314581953</v>
      </c>
      <c r="G113" t="s">
        <v>710</v>
      </c>
      <c r="H113" t="s">
        <v>639</v>
      </c>
      <c r="I113" t="s">
        <v>600</v>
      </c>
      <c r="J113" t="s">
        <v>549</v>
      </c>
      <c r="K113" t="s">
        <v>550</v>
      </c>
      <c r="L113" s="2">
        <v>45658</v>
      </c>
      <c r="M113" s="2">
        <v>45717</v>
      </c>
      <c r="N113" t="s">
        <v>551</v>
      </c>
      <c r="O113" t="s">
        <v>822</v>
      </c>
    </row>
    <row r="114" spans="1:16" x14ac:dyDescent="0.3">
      <c r="A114" s="1" t="s">
        <v>388</v>
      </c>
      <c r="B114" t="s">
        <v>235</v>
      </c>
      <c r="C114" t="s">
        <v>577</v>
      </c>
      <c r="D114" t="s">
        <v>191</v>
      </c>
      <c r="E114" t="s">
        <v>813</v>
      </c>
      <c r="F114" s="3">
        <v>350110421858518</v>
      </c>
      <c r="G114" t="s">
        <v>712</v>
      </c>
      <c r="H114" t="s">
        <v>639</v>
      </c>
      <c r="I114" t="s">
        <v>589</v>
      </c>
      <c r="J114" t="s">
        <v>549</v>
      </c>
      <c r="K114" t="s">
        <v>550</v>
      </c>
      <c r="L114" s="2">
        <v>45658</v>
      </c>
      <c r="M114" s="2">
        <v>45717</v>
      </c>
      <c r="N114" t="s">
        <v>551</v>
      </c>
    </row>
    <row r="115" spans="1:16" hidden="1" x14ac:dyDescent="0.3">
      <c r="A115" s="1" t="s">
        <v>823</v>
      </c>
      <c r="F115" s="3"/>
      <c r="G115" t="s">
        <v>824</v>
      </c>
      <c r="H115" t="s">
        <v>762</v>
      </c>
      <c r="I115" t="s">
        <v>589</v>
      </c>
      <c r="J115" t="s">
        <v>590</v>
      </c>
      <c r="K115" t="s">
        <v>550</v>
      </c>
      <c r="L115" s="2">
        <v>45658</v>
      </c>
      <c r="M115" s="2">
        <v>45717</v>
      </c>
      <c r="N115" t="s">
        <v>551</v>
      </c>
      <c r="O115" s="4" t="s">
        <v>825</v>
      </c>
    </row>
    <row r="116" spans="1:16" x14ac:dyDescent="0.3">
      <c r="A116" s="66" t="s">
        <v>389</v>
      </c>
      <c r="B116" s="31" t="s">
        <v>826</v>
      </c>
      <c r="C116" s="31" t="s">
        <v>577</v>
      </c>
      <c r="D116" s="31" t="s">
        <v>114</v>
      </c>
      <c r="E116" s="31" t="s">
        <v>578</v>
      </c>
      <c r="F116" s="67">
        <v>356751111122915</v>
      </c>
      <c r="G116" s="31" t="s">
        <v>729</v>
      </c>
      <c r="H116" s="31" t="s">
        <v>644</v>
      </c>
      <c r="I116" s="31" t="s">
        <v>589</v>
      </c>
      <c r="J116" s="31" t="s">
        <v>590</v>
      </c>
      <c r="K116" s="31" t="s">
        <v>1025</v>
      </c>
      <c r="L116" s="2">
        <v>45658</v>
      </c>
      <c r="M116" s="2">
        <v>45717</v>
      </c>
      <c r="N116" t="s">
        <v>551</v>
      </c>
      <c r="O116" s="4" t="s">
        <v>1044</v>
      </c>
    </row>
    <row r="117" spans="1:16" x14ac:dyDescent="0.3">
      <c r="A117" s="1" t="s">
        <v>828</v>
      </c>
      <c r="B117" t="s">
        <v>829</v>
      </c>
      <c r="C117" t="s">
        <v>577</v>
      </c>
      <c r="D117" t="s">
        <v>114</v>
      </c>
      <c r="E117" t="s">
        <v>830</v>
      </c>
      <c r="F117" s="3">
        <v>356750111840153</v>
      </c>
      <c r="G117" t="s">
        <v>738</v>
      </c>
      <c r="H117" t="s">
        <v>639</v>
      </c>
      <c r="I117" t="s">
        <v>589</v>
      </c>
      <c r="J117" t="s">
        <v>549</v>
      </c>
      <c r="K117" t="s">
        <v>550</v>
      </c>
      <c r="L117" s="2">
        <v>45658</v>
      </c>
      <c r="M117" s="2">
        <v>45717</v>
      </c>
      <c r="N117" t="s">
        <v>551</v>
      </c>
      <c r="O117" s="4" t="s">
        <v>827</v>
      </c>
    </row>
    <row r="118" spans="1:16" hidden="1" x14ac:dyDescent="0.3">
      <c r="A118" s="1" t="s">
        <v>393</v>
      </c>
      <c r="B118" t="s">
        <v>208</v>
      </c>
      <c r="C118" t="s">
        <v>22</v>
      </c>
      <c r="D118" t="s">
        <v>191</v>
      </c>
      <c r="E118" t="s">
        <v>630</v>
      </c>
      <c r="F118" s="3">
        <v>358091652874097</v>
      </c>
      <c r="G118" t="s">
        <v>759</v>
      </c>
      <c r="H118" t="s">
        <v>632</v>
      </c>
      <c r="I118" t="s">
        <v>589</v>
      </c>
      <c r="J118" t="s">
        <v>617</v>
      </c>
      <c r="K118" t="s">
        <v>550</v>
      </c>
      <c r="L118" s="2">
        <v>45658</v>
      </c>
      <c r="M118" s="2">
        <v>45717</v>
      </c>
      <c r="N118" t="s">
        <v>551</v>
      </c>
    </row>
    <row r="119" spans="1:16" hidden="1" x14ac:dyDescent="0.3">
      <c r="A119" s="1" t="s">
        <v>831</v>
      </c>
      <c r="B119" t="s">
        <v>93</v>
      </c>
      <c r="C119" t="s">
        <v>22</v>
      </c>
      <c r="D119" t="s">
        <v>191</v>
      </c>
      <c r="E119" t="s">
        <v>813</v>
      </c>
      <c r="F119" s="3">
        <v>3501104219697</v>
      </c>
      <c r="G119" t="s">
        <v>784</v>
      </c>
      <c r="H119" t="s">
        <v>644</v>
      </c>
      <c r="I119" t="s">
        <v>589</v>
      </c>
      <c r="J119" t="s">
        <v>590</v>
      </c>
      <c r="K119" t="s">
        <v>550</v>
      </c>
      <c r="L119" s="2">
        <v>45658</v>
      </c>
      <c r="M119" s="2">
        <v>45717</v>
      </c>
      <c r="N119" t="s">
        <v>551</v>
      </c>
    </row>
    <row r="120" spans="1:16" x14ac:dyDescent="0.3">
      <c r="A120" s="1" t="s">
        <v>397</v>
      </c>
      <c r="B120" s="37" t="s">
        <v>454</v>
      </c>
      <c r="C120" s="23" t="s">
        <v>577</v>
      </c>
      <c r="D120" s="23" t="s">
        <v>585</v>
      </c>
      <c r="E120" s="23" t="s">
        <v>586</v>
      </c>
      <c r="F120" s="24">
        <v>355978840949711</v>
      </c>
      <c r="G120" s="23" t="s">
        <v>832</v>
      </c>
      <c r="H120" s="23" t="s">
        <v>773</v>
      </c>
      <c r="I120" s="23" t="s">
        <v>589</v>
      </c>
      <c r="J120" s="23" t="s">
        <v>549</v>
      </c>
      <c r="K120" s="23" t="s">
        <v>550</v>
      </c>
      <c r="L120" s="25">
        <v>45658</v>
      </c>
      <c r="M120" s="25">
        <v>45717</v>
      </c>
      <c r="N120" s="23" t="s">
        <v>551</v>
      </c>
      <c r="O120" s="23" t="s">
        <v>833</v>
      </c>
    </row>
    <row r="121" spans="1:16" x14ac:dyDescent="0.3">
      <c r="A121" s="1" t="s">
        <v>834</v>
      </c>
      <c r="B121" s="23" t="s">
        <v>146</v>
      </c>
      <c r="C121" s="23" t="s">
        <v>577</v>
      </c>
      <c r="D121" s="23" t="s">
        <v>191</v>
      </c>
      <c r="E121" s="23" t="s">
        <v>630</v>
      </c>
      <c r="F121" s="24">
        <v>358091652358661</v>
      </c>
      <c r="G121" s="23" t="s">
        <v>832</v>
      </c>
      <c r="H121" s="23" t="s">
        <v>773</v>
      </c>
      <c r="I121" s="23" t="s">
        <v>589</v>
      </c>
      <c r="J121" s="23" t="s">
        <v>549</v>
      </c>
      <c r="K121" s="23" t="s">
        <v>550</v>
      </c>
      <c r="L121" s="25">
        <v>45658</v>
      </c>
      <c r="M121" s="25">
        <v>45717</v>
      </c>
      <c r="N121" s="23" t="s">
        <v>551</v>
      </c>
      <c r="O121" s="23" t="s">
        <v>833</v>
      </c>
    </row>
    <row r="122" spans="1:16" hidden="1" x14ac:dyDescent="0.3">
      <c r="A122" s="1" t="s">
        <v>398</v>
      </c>
      <c r="B122" s="21" t="s">
        <v>200</v>
      </c>
      <c r="C122" s="21" t="s">
        <v>22</v>
      </c>
      <c r="D122" s="21" t="s">
        <v>592</v>
      </c>
      <c r="E122" s="21" t="s">
        <v>611</v>
      </c>
      <c r="F122" s="3">
        <v>351082120960722</v>
      </c>
      <c r="G122" s="21" t="s">
        <v>835</v>
      </c>
      <c r="H122" s="21" t="s">
        <v>836</v>
      </c>
      <c r="I122" s="21" t="s">
        <v>589</v>
      </c>
      <c r="J122" s="21" t="s">
        <v>549</v>
      </c>
      <c r="K122" s="21" t="s">
        <v>550</v>
      </c>
      <c r="L122" s="22">
        <v>45658</v>
      </c>
      <c r="M122" s="22">
        <v>45717</v>
      </c>
      <c r="N122" s="21" t="s">
        <v>551</v>
      </c>
      <c r="P122" t="s">
        <v>566</v>
      </c>
    </row>
    <row r="123" spans="1:16" hidden="1" x14ac:dyDescent="0.3">
      <c r="A123" s="1" t="s">
        <v>837</v>
      </c>
      <c r="B123" t="s">
        <v>215</v>
      </c>
      <c r="C123" t="s">
        <v>22</v>
      </c>
      <c r="D123" t="s">
        <v>191</v>
      </c>
      <c r="E123" t="s">
        <v>572</v>
      </c>
      <c r="F123" s="5">
        <v>352865675892301</v>
      </c>
      <c r="G123" t="s">
        <v>838</v>
      </c>
      <c r="H123" t="s">
        <v>839</v>
      </c>
      <c r="I123" t="s">
        <v>600</v>
      </c>
      <c r="J123" t="s">
        <v>549</v>
      </c>
      <c r="K123" t="s">
        <v>550</v>
      </c>
      <c r="L123" s="2">
        <v>45658</v>
      </c>
      <c r="M123" s="2">
        <v>45717</v>
      </c>
      <c r="N123" t="s">
        <v>551</v>
      </c>
      <c r="P123" t="s">
        <v>566</v>
      </c>
    </row>
    <row r="124" spans="1:16" x14ac:dyDescent="0.3">
      <c r="A124" s="1" t="s">
        <v>402</v>
      </c>
      <c r="B124" t="s">
        <v>243</v>
      </c>
      <c r="C124" t="s">
        <v>577</v>
      </c>
      <c r="D124" t="s">
        <v>585</v>
      </c>
      <c r="E124" t="s">
        <v>586</v>
      </c>
      <c r="F124" s="3">
        <v>355978840924771</v>
      </c>
      <c r="G124" t="s">
        <v>840</v>
      </c>
      <c r="H124" t="s">
        <v>597</v>
      </c>
      <c r="I124" t="s">
        <v>589</v>
      </c>
      <c r="J124" t="s">
        <v>549</v>
      </c>
      <c r="K124" t="s">
        <v>550</v>
      </c>
      <c r="L124" s="2">
        <v>45658</v>
      </c>
      <c r="M124" s="2">
        <v>45717</v>
      </c>
      <c r="N124" t="s">
        <v>551</v>
      </c>
    </row>
    <row r="125" spans="1:16" hidden="1" x14ac:dyDescent="0.3">
      <c r="A125" s="1" t="s">
        <v>841</v>
      </c>
      <c r="B125" t="s">
        <v>221</v>
      </c>
      <c r="C125" t="s">
        <v>22</v>
      </c>
      <c r="D125" s="4"/>
      <c r="E125" s="4"/>
      <c r="F125" s="6"/>
      <c r="G125" t="s">
        <v>842</v>
      </c>
      <c r="H125" t="s">
        <v>843</v>
      </c>
      <c r="I125" t="s">
        <v>589</v>
      </c>
      <c r="J125" t="s">
        <v>590</v>
      </c>
      <c r="K125" t="s">
        <v>550</v>
      </c>
      <c r="L125" s="2">
        <v>45658</v>
      </c>
      <c r="M125" s="2">
        <v>45717</v>
      </c>
      <c r="N125" t="s">
        <v>551</v>
      </c>
    </row>
    <row r="126" spans="1:16" hidden="1" x14ac:dyDescent="0.3">
      <c r="A126" s="1">
        <v>245</v>
      </c>
      <c r="B126" s="21" t="s">
        <v>471</v>
      </c>
      <c r="C126" s="21" t="s">
        <v>22</v>
      </c>
      <c r="D126" s="21" t="s">
        <v>114</v>
      </c>
      <c r="E126" s="21" t="s">
        <v>844</v>
      </c>
      <c r="F126" s="3">
        <v>356029485261308</v>
      </c>
      <c r="G126" t="s">
        <v>842</v>
      </c>
      <c r="H126" s="21" t="s">
        <v>843</v>
      </c>
      <c r="I126" s="21" t="s">
        <v>589</v>
      </c>
      <c r="J126" s="21" t="s">
        <v>590</v>
      </c>
      <c r="K126" s="21" t="s">
        <v>550</v>
      </c>
      <c r="L126" s="22">
        <v>45723</v>
      </c>
      <c r="M126" s="22">
        <v>45723</v>
      </c>
      <c r="N126" s="21" t="s">
        <v>551</v>
      </c>
    </row>
    <row r="127" spans="1:16" hidden="1" x14ac:dyDescent="0.3">
      <c r="A127" s="1" t="s">
        <v>845</v>
      </c>
      <c r="B127" s="21" t="s">
        <v>464</v>
      </c>
      <c r="C127" s="21" t="s">
        <v>22</v>
      </c>
      <c r="D127" s="21" t="s">
        <v>114</v>
      </c>
      <c r="E127" s="21" t="s">
        <v>844</v>
      </c>
      <c r="F127" s="3">
        <v>356029485569361</v>
      </c>
      <c r="G127" s="4"/>
      <c r="H127" t="s">
        <v>846</v>
      </c>
      <c r="I127" t="s">
        <v>589</v>
      </c>
      <c r="J127" t="s">
        <v>624</v>
      </c>
      <c r="K127" t="s">
        <v>550</v>
      </c>
      <c r="L127" s="2">
        <v>45658</v>
      </c>
      <c r="M127" s="2">
        <v>45717</v>
      </c>
      <c r="N127" t="s">
        <v>551</v>
      </c>
    </row>
    <row r="128" spans="1:16" hidden="1" x14ac:dyDescent="0.3">
      <c r="A128" s="1" t="s">
        <v>405</v>
      </c>
      <c r="B128" s="36" t="s">
        <v>491</v>
      </c>
      <c r="C128" s="21" t="s">
        <v>22</v>
      </c>
      <c r="D128" s="4"/>
      <c r="E128" s="4"/>
      <c r="F128" s="6"/>
      <c r="G128" s="4"/>
      <c r="H128" t="s">
        <v>846</v>
      </c>
      <c r="I128" t="s">
        <v>589</v>
      </c>
      <c r="J128" t="s">
        <v>624</v>
      </c>
      <c r="K128" t="s">
        <v>550</v>
      </c>
      <c r="L128" s="2">
        <v>45658</v>
      </c>
      <c r="M128" s="2">
        <v>45717</v>
      </c>
      <c r="N128" t="s">
        <v>551</v>
      </c>
    </row>
    <row r="129" spans="1:14" hidden="1" x14ac:dyDescent="0.3">
      <c r="A129" s="1" t="s">
        <v>847</v>
      </c>
      <c r="B129" t="s">
        <v>109</v>
      </c>
      <c r="C129" t="s">
        <v>22</v>
      </c>
      <c r="D129" t="s">
        <v>592</v>
      </c>
      <c r="E129" t="s">
        <v>848</v>
      </c>
      <c r="F129" s="3">
        <v>351082120669125</v>
      </c>
      <c r="G129" t="s">
        <v>849</v>
      </c>
      <c r="H129" t="s">
        <v>623</v>
      </c>
      <c r="I129" t="s">
        <v>589</v>
      </c>
      <c r="J129" t="s">
        <v>624</v>
      </c>
      <c r="K129" t="s">
        <v>550</v>
      </c>
      <c r="L129" s="2">
        <v>45762</v>
      </c>
      <c r="M129" s="2">
        <v>45762</v>
      </c>
      <c r="N129" t="s">
        <v>551</v>
      </c>
    </row>
    <row r="130" spans="1:14" hidden="1" x14ac:dyDescent="0.3">
      <c r="A130" s="1" t="s">
        <v>406</v>
      </c>
      <c r="B130" t="s">
        <v>241</v>
      </c>
      <c r="C130" t="s">
        <v>22</v>
      </c>
      <c r="D130" t="s">
        <v>592</v>
      </c>
      <c r="E130" t="s">
        <v>848</v>
      </c>
      <c r="F130" s="3">
        <v>351082125564644</v>
      </c>
      <c r="G130" t="s">
        <v>850</v>
      </c>
      <c r="H130" t="s">
        <v>623</v>
      </c>
      <c r="I130" t="s">
        <v>589</v>
      </c>
      <c r="J130" t="s">
        <v>624</v>
      </c>
      <c r="K130" t="s">
        <v>550</v>
      </c>
      <c r="L130" s="2">
        <v>45658</v>
      </c>
      <c r="M130" s="2">
        <v>45717</v>
      </c>
      <c r="N130" t="s">
        <v>551</v>
      </c>
    </row>
    <row r="131" spans="1:14" hidden="1" x14ac:dyDescent="0.3">
      <c r="A131" s="1" t="s">
        <v>851</v>
      </c>
      <c r="B131" t="s">
        <v>167</v>
      </c>
      <c r="C131" t="s">
        <v>22</v>
      </c>
      <c r="D131" t="s">
        <v>585</v>
      </c>
      <c r="E131" t="s">
        <v>586</v>
      </c>
      <c r="F131" s="3">
        <v>355978840888703</v>
      </c>
      <c r="G131" t="s">
        <v>852</v>
      </c>
      <c r="H131" t="s">
        <v>597</v>
      </c>
      <c r="I131" t="s">
        <v>589</v>
      </c>
      <c r="J131" t="s">
        <v>549</v>
      </c>
      <c r="K131" t="s">
        <v>550</v>
      </c>
      <c r="L131" s="2">
        <v>45658</v>
      </c>
      <c r="M131" s="2">
        <v>45717</v>
      </c>
      <c r="N131" t="s">
        <v>551</v>
      </c>
    </row>
    <row r="132" spans="1:14" hidden="1" x14ac:dyDescent="0.3">
      <c r="A132" s="1" t="s">
        <v>407</v>
      </c>
      <c r="B132" t="s">
        <v>192</v>
      </c>
      <c r="C132" t="s">
        <v>22</v>
      </c>
      <c r="D132" s="7" t="s">
        <v>585</v>
      </c>
      <c r="E132" s="7" t="s">
        <v>586</v>
      </c>
      <c r="F132" s="3">
        <v>355978840899098</v>
      </c>
      <c r="G132" t="s">
        <v>853</v>
      </c>
      <c r="H132" t="s">
        <v>597</v>
      </c>
      <c r="I132" t="s">
        <v>589</v>
      </c>
      <c r="J132" t="s">
        <v>549</v>
      </c>
      <c r="K132" t="s">
        <v>550</v>
      </c>
      <c r="L132" s="2">
        <v>45658</v>
      </c>
      <c r="M132" s="2">
        <v>45717</v>
      </c>
      <c r="N132" t="s">
        <v>551</v>
      </c>
    </row>
    <row r="133" spans="1:14" hidden="1" x14ac:dyDescent="0.3">
      <c r="A133" s="1" t="s">
        <v>854</v>
      </c>
      <c r="B133" t="s">
        <v>195</v>
      </c>
      <c r="C133" t="s">
        <v>22</v>
      </c>
      <c r="D133" s="7" t="s">
        <v>585</v>
      </c>
      <c r="E133" s="7" t="s">
        <v>586</v>
      </c>
      <c r="F133" s="3">
        <v>355978840945693</v>
      </c>
      <c r="G133" t="s">
        <v>612</v>
      </c>
      <c r="H133" t="s">
        <v>588</v>
      </c>
      <c r="I133" t="s">
        <v>589</v>
      </c>
      <c r="J133" t="s">
        <v>590</v>
      </c>
      <c r="K133" t="s">
        <v>550</v>
      </c>
      <c r="L133" s="2">
        <v>45658</v>
      </c>
      <c r="M133" s="2">
        <v>45717</v>
      </c>
      <c r="N133" t="s">
        <v>551</v>
      </c>
    </row>
    <row r="134" spans="1:14" x14ac:dyDescent="0.3">
      <c r="A134" s="1" t="s">
        <v>408</v>
      </c>
      <c r="B134" t="s">
        <v>855</v>
      </c>
      <c r="C134" t="s">
        <v>577</v>
      </c>
      <c r="D134" s="7" t="s">
        <v>191</v>
      </c>
      <c r="E134" s="7" t="s">
        <v>630</v>
      </c>
      <c r="F134" s="3">
        <v>358091652066132</v>
      </c>
      <c r="G134" t="s">
        <v>856</v>
      </c>
      <c r="H134" t="s">
        <v>632</v>
      </c>
      <c r="I134" t="s">
        <v>589</v>
      </c>
      <c r="J134" t="s">
        <v>617</v>
      </c>
      <c r="K134" t="s">
        <v>550</v>
      </c>
      <c r="L134" s="2">
        <v>45658</v>
      </c>
      <c r="M134" s="2">
        <v>45717</v>
      </c>
      <c r="N134" t="s">
        <v>551</v>
      </c>
    </row>
    <row r="135" spans="1:14" hidden="1" x14ac:dyDescent="0.3">
      <c r="A135" s="1" t="s">
        <v>857</v>
      </c>
      <c r="B135" t="s">
        <v>449</v>
      </c>
      <c r="C135" t="s">
        <v>22</v>
      </c>
      <c r="D135" s="7" t="s">
        <v>114</v>
      </c>
      <c r="E135" s="4"/>
      <c r="F135" s="3">
        <v>356751113340572</v>
      </c>
      <c r="G135" t="s">
        <v>856</v>
      </c>
      <c r="H135" t="s">
        <v>632</v>
      </c>
      <c r="I135" t="s">
        <v>589</v>
      </c>
      <c r="J135" t="s">
        <v>617</v>
      </c>
      <c r="K135" t="s">
        <v>550</v>
      </c>
      <c r="L135" s="2">
        <v>45658</v>
      </c>
      <c r="M135" s="2">
        <v>45717</v>
      </c>
      <c r="N135" t="s">
        <v>551</v>
      </c>
    </row>
    <row r="136" spans="1:14" hidden="1" x14ac:dyDescent="0.3">
      <c r="A136" s="1" t="s">
        <v>411</v>
      </c>
      <c r="F136" s="3"/>
      <c r="L136" s="2"/>
      <c r="M136" s="2"/>
    </row>
    <row r="137" spans="1:14" x14ac:dyDescent="0.3">
      <c r="A137" s="1" t="s">
        <v>858</v>
      </c>
      <c r="B137" t="s">
        <v>202</v>
      </c>
      <c r="C137" t="s">
        <v>577</v>
      </c>
      <c r="D137" t="s">
        <v>191</v>
      </c>
      <c r="E137" t="s">
        <v>859</v>
      </c>
      <c r="F137" s="3">
        <v>358091652491496</v>
      </c>
      <c r="G137" t="s">
        <v>860</v>
      </c>
      <c r="H137" t="s">
        <v>644</v>
      </c>
      <c r="I137" t="s">
        <v>589</v>
      </c>
      <c r="J137" t="s">
        <v>549</v>
      </c>
      <c r="K137" t="s">
        <v>550</v>
      </c>
      <c r="L137" s="2">
        <v>45717</v>
      </c>
      <c r="M137" s="2">
        <v>45717</v>
      </c>
      <c r="N137" t="s">
        <v>551</v>
      </c>
    </row>
    <row r="138" spans="1:14" hidden="1" x14ac:dyDescent="0.3">
      <c r="A138" s="1" t="s">
        <v>416</v>
      </c>
      <c r="B138" t="s">
        <v>163</v>
      </c>
      <c r="C138" t="s">
        <v>22</v>
      </c>
      <c r="D138" t="s">
        <v>114</v>
      </c>
      <c r="E138" t="s">
        <v>861</v>
      </c>
      <c r="F138" s="3">
        <v>355939974972648</v>
      </c>
      <c r="G138" t="s">
        <v>860</v>
      </c>
      <c r="H138" t="s">
        <v>644</v>
      </c>
      <c r="I138" t="s">
        <v>589</v>
      </c>
      <c r="J138" t="s">
        <v>549</v>
      </c>
      <c r="K138" t="s">
        <v>550</v>
      </c>
      <c r="L138" s="2">
        <v>45717</v>
      </c>
      <c r="M138" s="2">
        <v>45717</v>
      </c>
      <c r="N138" t="s">
        <v>551</v>
      </c>
    </row>
    <row r="139" spans="1:14" hidden="1" x14ac:dyDescent="0.3">
      <c r="A139" s="1" t="s">
        <v>862</v>
      </c>
      <c r="C139" t="s">
        <v>22</v>
      </c>
      <c r="D139" t="s">
        <v>191</v>
      </c>
      <c r="E139" t="s">
        <v>863</v>
      </c>
      <c r="F139" s="3">
        <v>358091652600849</v>
      </c>
      <c r="G139" t="s">
        <v>864</v>
      </c>
      <c r="H139" s="14" t="s">
        <v>639</v>
      </c>
      <c r="I139" t="s">
        <v>589</v>
      </c>
      <c r="J139" t="s">
        <v>549</v>
      </c>
      <c r="K139" t="s">
        <v>550</v>
      </c>
      <c r="L139" s="2">
        <v>45729</v>
      </c>
      <c r="M139" s="2">
        <v>45717</v>
      </c>
      <c r="N139" t="s">
        <v>551</v>
      </c>
    </row>
    <row r="140" spans="1:14" hidden="1" x14ac:dyDescent="0.3">
      <c r="A140" s="1" t="s">
        <v>419</v>
      </c>
      <c r="B140" t="s">
        <v>417</v>
      </c>
      <c r="C140" t="s">
        <v>22</v>
      </c>
      <c r="D140" t="s">
        <v>114</v>
      </c>
      <c r="E140" t="s">
        <v>865</v>
      </c>
      <c r="F140" s="3">
        <v>356747112424995</v>
      </c>
      <c r="G140" t="s">
        <v>864</v>
      </c>
      <c r="H140" s="14" t="s">
        <v>639</v>
      </c>
      <c r="I140" t="s">
        <v>589</v>
      </c>
      <c r="J140" t="s">
        <v>549</v>
      </c>
      <c r="K140" t="s">
        <v>550</v>
      </c>
      <c r="L140" s="2">
        <v>45729</v>
      </c>
      <c r="M140" s="2">
        <v>45717</v>
      </c>
      <c r="N140" t="s">
        <v>551</v>
      </c>
    </row>
    <row r="141" spans="1:14" hidden="1" x14ac:dyDescent="0.3">
      <c r="A141" s="1" t="s">
        <v>866</v>
      </c>
      <c r="B141" t="s">
        <v>28</v>
      </c>
      <c r="C141" t="s">
        <v>22</v>
      </c>
      <c r="D141" t="s">
        <v>270</v>
      </c>
      <c r="E141" t="s">
        <v>270</v>
      </c>
      <c r="F141" s="3" t="s">
        <v>270</v>
      </c>
      <c r="G141" t="s">
        <v>29</v>
      </c>
      <c r="H141" t="s">
        <v>867</v>
      </c>
      <c r="I141" t="s">
        <v>867</v>
      </c>
      <c r="J141" t="s">
        <v>867</v>
      </c>
      <c r="K141" t="s">
        <v>550</v>
      </c>
      <c r="L141" s="2">
        <v>45658</v>
      </c>
      <c r="M141" s="2">
        <v>45717</v>
      </c>
      <c r="N141" t="s">
        <v>551</v>
      </c>
    </row>
    <row r="142" spans="1:14" hidden="1" x14ac:dyDescent="0.3">
      <c r="A142" s="1" t="s">
        <v>423</v>
      </c>
      <c r="B142" t="s">
        <v>31</v>
      </c>
      <c r="C142" t="s">
        <v>22</v>
      </c>
      <c r="D142" t="s">
        <v>270</v>
      </c>
      <c r="E142" t="s">
        <v>270</v>
      </c>
      <c r="F142" s="3" t="s">
        <v>270</v>
      </c>
      <c r="G142" t="s">
        <v>29</v>
      </c>
      <c r="H142" t="s">
        <v>867</v>
      </c>
      <c r="I142" t="s">
        <v>867</v>
      </c>
      <c r="J142" t="s">
        <v>867</v>
      </c>
      <c r="K142" t="s">
        <v>550</v>
      </c>
      <c r="L142" s="2">
        <v>45658</v>
      </c>
      <c r="M142" s="2">
        <v>45717</v>
      </c>
      <c r="N142" t="s">
        <v>551</v>
      </c>
    </row>
    <row r="143" spans="1:14" hidden="1" x14ac:dyDescent="0.3">
      <c r="A143" s="1" t="s">
        <v>868</v>
      </c>
      <c r="B143" t="s">
        <v>32</v>
      </c>
      <c r="C143" t="s">
        <v>22</v>
      </c>
      <c r="D143" t="s">
        <v>270</v>
      </c>
      <c r="E143" t="s">
        <v>270</v>
      </c>
      <c r="F143" s="3" t="s">
        <v>270</v>
      </c>
      <c r="G143" t="s">
        <v>29</v>
      </c>
      <c r="H143" t="s">
        <v>867</v>
      </c>
      <c r="I143" t="s">
        <v>867</v>
      </c>
      <c r="J143" t="s">
        <v>867</v>
      </c>
      <c r="K143" t="s">
        <v>550</v>
      </c>
      <c r="L143" s="2">
        <v>45658</v>
      </c>
      <c r="M143" s="2">
        <v>45717</v>
      </c>
      <c r="N143" t="s">
        <v>551</v>
      </c>
    </row>
    <row r="144" spans="1:14" hidden="1" x14ac:dyDescent="0.3">
      <c r="A144" s="1" t="s">
        <v>425</v>
      </c>
      <c r="B144" t="s">
        <v>85</v>
      </c>
      <c r="C144" t="s">
        <v>22</v>
      </c>
      <c r="D144" t="s">
        <v>270</v>
      </c>
      <c r="E144" t="s">
        <v>270</v>
      </c>
      <c r="F144" s="3" t="s">
        <v>270</v>
      </c>
      <c r="G144" t="s">
        <v>86</v>
      </c>
      <c r="H144" t="s">
        <v>867</v>
      </c>
      <c r="I144" t="s">
        <v>867</v>
      </c>
      <c r="J144" t="s">
        <v>867</v>
      </c>
      <c r="K144" t="s">
        <v>550</v>
      </c>
      <c r="L144" s="2">
        <v>45658</v>
      </c>
      <c r="M144" s="2">
        <v>45717</v>
      </c>
      <c r="N144" t="s">
        <v>551</v>
      </c>
    </row>
    <row r="145" spans="1:14" hidden="1" x14ac:dyDescent="0.3">
      <c r="A145" s="1" t="s">
        <v>869</v>
      </c>
      <c r="B145" t="s">
        <v>87</v>
      </c>
      <c r="C145" t="s">
        <v>22</v>
      </c>
      <c r="D145" t="s">
        <v>270</v>
      </c>
      <c r="E145" t="s">
        <v>270</v>
      </c>
      <c r="F145" s="3" t="s">
        <v>270</v>
      </c>
      <c r="G145" t="s">
        <v>88</v>
      </c>
      <c r="H145" t="s">
        <v>867</v>
      </c>
      <c r="I145" t="s">
        <v>867</v>
      </c>
      <c r="J145" t="s">
        <v>867</v>
      </c>
      <c r="K145" t="s">
        <v>550</v>
      </c>
      <c r="L145" s="2">
        <v>45658</v>
      </c>
      <c r="M145" s="2">
        <v>45717</v>
      </c>
      <c r="N145" t="s">
        <v>551</v>
      </c>
    </row>
    <row r="146" spans="1:14" hidden="1" x14ac:dyDescent="0.3">
      <c r="A146" s="1" t="s">
        <v>426</v>
      </c>
      <c r="B146" t="s">
        <v>223</v>
      </c>
      <c r="C146" t="s">
        <v>22</v>
      </c>
      <c r="D146" t="s">
        <v>270</v>
      </c>
      <c r="E146" t="s">
        <v>270</v>
      </c>
      <c r="F146" s="3" t="s">
        <v>270</v>
      </c>
      <c r="G146" t="s">
        <v>870</v>
      </c>
      <c r="H146" t="s">
        <v>867</v>
      </c>
      <c r="I146" t="s">
        <v>867</v>
      </c>
      <c r="J146" t="s">
        <v>867</v>
      </c>
      <c r="K146" t="s">
        <v>550</v>
      </c>
      <c r="L146" s="2">
        <v>45658</v>
      </c>
      <c r="M146" s="2">
        <v>45717</v>
      </c>
      <c r="N146" t="s">
        <v>551</v>
      </c>
    </row>
    <row r="147" spans="1:14" hidden="1" x14ac:dyDescent="0.3">
      <c r="A147" s="1" t="s">
        <v>871</v>
      </c>
      <c r="B147" t="s">
        <v>225</v>
      </c>
      <c r="C147" t="s">
        <v>22</v>
      </c>
      <c r="D147" t="s">
        <v>270</v>
      </c>
      <c r="E147" t="s">
        <v>270</v>
      </c>
      <c r="F147" s="3" t="s">
        <v>270</v>
      </c>
      <c r="G147" t="s">
        <v>226</v>
      </c>
      <c r="H147" t="s">
        <v>867</v>
      </c>
      <c r="I147" t="s">
        <v>867</v>
      </c>
      <c r="J147" t="s">
        <v>867</v>
      </c>
      <c r="K147" t="s">
        <v>550</v>
      </c>
      <c r="L147" s="2">
        <v>45658</v>
      </c>
      <c r="M147" s="2">
        <v>45717</v>
      </c>
      <c r="N147" t="s">
        <v>551</v>
      </c>
    </row>
    <row r="148" spans="1:14" hidden="1" x14ac:dyDescent="0.3">
      <c r="A148" s="1" t="s">
        <v>427</v>
      </c>
      <c r="B148" t="s">
        <v>227</v>
      </c>
      <c r="C148" t="s">
        <v>22</v>
      </c>
      <c r="D148" t="s">
        <v>270</v>
      </c>
      <c r="E148" t="s">
        <v>270</v>
      </c>
      <c r="F148" s="3" t="s">
        <v>270</v>
      </c>
      <c r="G148" t="s">
        <v>228</v>
      </c>
      <c r="H148" t="s">
        <v>867</v>
      </c>
      <c r="I148" t="s">
        <v>867</v>
      </c>
      <c r="J148" t="s">
        <v>867</v>
      </c>
      <c r="K148" t="s">
        <v>550</v>
      </c>
      <c r="L148" s="2">
        <v>45658</v>
      </c>
      <c r="M148" s="2">
        <v>45717</v>
      </c>
      <c r="N148" t="s">
        <v>551</v>
      </c>
    </row>
    <row r="149" spans="1:14" hidden="1" x14ac:dyDescent="0.3">
      <c r="A149" s="1" t="s">
        <v>872</v>
      </c>
      <c r="B149" t="s">
        <v>229</v>
      </c>
      <c r="C149" t="s">
        <v>22</v>
      </c>
      <c r="D149" t="s">
        <v>270</v>
      </c>
      <c r="E149" t="s">
        <v>270</v>
      </c>
      <c r="F149" s="3" t="s">
        <v>270</v>
      </c>
      <c r="G149" t="s">
        <v>230</v>
      </c>
      <c r="H149" t="s">
        <v>867</v>
      </c>
      <c r="I149" t="s">
        <v>867</v>
      </c>
      <c r="J149" t="s">
        <v>867</v>
      </c>
      <c r="K149" t="s">
        <v>550</v>
      </c>
      <c r="L149" s="2">
        <v>45658</v>
      </c>
      <c r="M149" s="2">
        <v>45717</v>
      </c>
      <c r="N149" t="s">
        <v>551</v>
      </c>
    </row>
    <row r="150" spans="1:14" hidden="1" x14ac:dyDescent="0.3">
      <c r="A150" s="1" t="s">
        <v>431</v>
      </c>
      <c r="F150" s="3" t="s">
        <v>270</v>
      </c>
      <c r="G150" t="s">
        <v>873</v>
      </c>
      <c r="H150" t="s">
        <v>623</v>
      </c>
      <c r="I150" t="s">
        <v>589</v>
      </c>
      <c r="J150" t="s">
        <v>624</v>
      </c>
      <c r="K150" t="s">
        <v>550</v>
      </c>
      <c r="L150" s="2">
        <v>45762</v>
      </c>
      <c r="M150" s="2">
        <v>45762</v>
      </c>
      <c r="N150" t="s">
        <v>551</v>
      </c>
    </row>
    <row r="151" spans="1:14" hidden="1" x14ac:dyDescent="0.3">
      <c r="A151" s="1" t="s">
        <v>874</v>
      </c>
      <c r="B151" t="s">
        <v>38</v>
      </c>
      <c r="C151" t="s">
        <v>22</v>
      </c>
      <c r="D151" t="s">
        <v>270</v>
      </c>
      <c r="E151" t="s">
        <v>270</v>
      </c>
      <c r="F151" s="3" t="s">
        <v>270</v>
      </c>
      <c r="G151" t="s">
        <v>875</v>
      </c>
      <c r="H151" s="14" t="s">
        <v>639</v>
      </c>
      <c r="I151" t="s">
        <v>589</v>
      </c>
      <c r="J151" t="s">
        <v>549</v>
      </c>
      <c r="K151" t="s">
        <v>550</v>
      </c>
      <c r="L151" s="2">
        <v>45729</v>
      </c>
      <c r="M151" s="2">
        <v>45717</v>
      </c>
      <c r="N151" t="s">
        <v>551</v>
      </c>
    </row>
    <row r="152" spans="1:14" hidden="1" x14ac:dyDescent="0.3">
      <c r="A152" s="1" t="s">
        <v>434</v>
      </c>
      <c r="B152" t="s">
        <v>41</v>
      </c>
      <c r="C152" t="s">
        <v>22</v>
      </c>
      <c r="D152" t="s">
        <v>270</v>
      </c>
      <c r="E152" t="s">
        <v>270</v>
      </c>
      <c r="F152" s="3" t="s">
        <v>270</v>
      </c>
      <c r="G152" t="s">
        <v>875</v>
      </c>
      <c r="H152" s="14" t="s">
        <v>639</v>
      </c>
      <c r="I152" t="s">
        <v>589</v>
      </c>
      <c r="J152" t="s">
        <v>549</v>
      </c>
      <c r="K152" t="s">
        <v>550</v>
      </c>
      <c r="L152" s="2">
        <v>45729</v>
      </c>
      <c r="M152" s="2">
        <v>45717</v>
      </c>
      <c r="N152" t="s">
        <v>551</v>
      </c>
    </row>
    <row r="153" spans="1:14" hidden="1" x14ac:dyDescent="0.3">
      <c r="A153" s="1"/>
      <c r="B153" s="11" t="s">
        <v>409</v>
      </c>
      <c r="C153" s="11"/>
      <c r="D153" s="11"/>
      <c r="E153" s="11"/>
      <c r="F153" s="12"/>
      <c r="G153" s="10" t="s">
        <v>410</v>
      </c>
      <c r="H153" t="s">
        <v>846</v>
      </c>
      <c r="I153" t="s">
        <v>589</v>
      </c>
      <c r="J153" t="s">
        <v>624</v>
      </c>
    </row>
    <row r="154" spans="1:14" hidden="1" x14ac:dyDescent="0.3">
      <c r="A154" s="1"/>
      <c r="B154" s="11" t="s">
        <v>415</v>
      </c>
      <c r="C154" t="s">
        <v>22</v>
      </c>
      <c r="D154" s="11"/>
      <c r="E154" s="11"/>
      <c r="F154" s="12"/>
      <c r="G154" s="10" t="s">
        <v>301</v>
      </c>
      <c r="H154" s="14" t="s">
        <v>639</v>
      </c>
      <c r="I154" t="s">
        <v>589</v>
      </c>
      <c r="J154" t="s">
        <v>549</v>
      </c>
    </row>
    <row r="155" spans="1:14" hidden="1" x14ac:dyDescent="0.3">
      <c r="A155" s="1"/>
      <c r="B155" s="11" t="s">
        <v>421</v>
      </c>
      <c r="C155" s="11"/>
      <c r="D155" s="11"/>
      <c r="E155" s="11"/>
      <c r="F155" s="12"/>
      <c r="G155" s="10" t="s">
        <v>422</v>
      </c>
      <c r="H155" s="21" t="s">
        <v>843</v>
      </c>
      <c r="I155" s="21" t="s">
        <v>589</v>
      </c>
      <c r="J155" s="21" t="s">
        <v>590</v>
      </c>
      <c r="K155" s="21" t="s">
        <v>550</v>
      </c>
    </row>
    <row r="156" spans="1:14" hidden="1" x14ac:dyDescent="0.3">
      <c r="A156" s="1"/>
      <c r="B156" s="43" t="s">
        <v>231</v>
      </c>
      <c r="C156" s="11"/>
      <c r="D156" s="11"/>
      <c r="E156" s="11"/>
      <c r="F156" s="12"/>
      <c r="G156" s="44" t="s">
        <v>232</v>
      </c>
      <c r="H156" s="14" t="s">
        <v>639</v>
      </c>
      <c r="I156" t="s">
        <v>589</v>
      </c>
      <c r="J156" t="s">
        <v>549</v>
      </c>
      <c r="K156" t="s">
        <v>550</v>
      </c>
    </row>
    <row r="157" spans="1:14" hidden="1" x14ac:dyDescent="0.3">
      <c r="A157" s="1"/>
      <c r="B157" s="59" t="s">
        <v>95</v>
      </c>
      <c r="F157" s="3"/>
      <c r="G157" s="1" t="s">
        <v>876</v>
      </c>
      <c r="H157" s="14" t="s">
        <v>639</v>
      </c>
      <c r="I157" t="s">
        <v>589</v>
      </c>
      <c r="J157" t="s">
        <v>549</v>
      </c>
      <c r="K157" t="s">
        <v>550</v>
      </c>
    </row>
    <row r="158" spans="1:14" hidden="1" x14ac:dyDescent="0.3">
      <c r="A158" s="1"/>
      <c r="B158" s="58" t="s">
        <v>300</v>
      </c>
      <c r="C158" t="s">
        <v>22</v>
      </c>
      <c r="G158" s="45" t="s">
        <v>877</v>
      </c>
      <c r="H158" s="14" t="s">
        <v>639</v>
      </c>
      <c r="I158" t="s">
        <v>589</v>
      </c>
      <c r="J158" t="s">
        <v>549</v>
      </c>
      <c r="K158" t="s">
        <v>550</v>
      </c>
    </row>
    <row r="159" spans="1:14" ht="15.6" hidden="1" x14ac:dyDescent="0.3">
      <c r="B159" s="11" t="s">
        <v>878</v>
      </c>
      <c r="C159" t="s">
        <v>22</v>
      </c>
      <c r="D159" t="s">
        <v>40</v>
      </c>
      <c r="E159" s="57" t="s">
        <v>879</v>
      </c>
      <c r="F159" s="3" t="s">
        <v>880</v>
      </c>
      <c r="G159" t="s">
        <v>881</v>
      </c>
      <c r="H159" t="s">
        <v>882</v>
      </c>
      <c r="I159" t="s">
        <v>589</v>
      </c>
      <c r="J159" t="s">
        <v>617</v>
      </c>
      <c r="K159" t="s">
        <v>550</v>
      </c>
    </row>
    <row r="160" spans="1:14" ht="15.6" hidden="1" x14ac:dyDescent="0.3">
      <c r="B160" t="s">
        <v>883</v>
      </c>
      <c r="C160" t="s">
        <v>22</v>
      </c>
      <c r="D160" t="s">
        <v>40</v>
      </c>
      <c r="E160" s="57" t="s">
        <v>879</v>
      </c>
      <c r="F160" s="3" t="s">
        <v>884</v>
      </c>
      <c r="G160" t="s">
        <v>885</v>
      </c>
      <c r="H160" t="s">
        <v>882</v>
      </c>
      <c r="I160" t="s">
        <v>589</v>
      </c>
      <c r="J160" t="s">
        <v>617</v>
      </c>
      <c r="K160" t="s">
        <v>550</v>
      </c>
    </row>
    <row r="161" spans="6:6" x14ac:dyDescent="0.3">
      <c r="F161" s="3"/>
    </row>
    <row r="162" spans="6:6" x14ac:dyDescent="0.3">
      <c r="F162" s="3"/>
    </row>
    <row r="163" spans="6:6" x14ac:dyDescent="0.3">
      <c r="F163" s="3"/>
    </row>
    <row r="164" spans="6:6" x14ac:dyDescent="0.3">
      <c r="F164" s="3"/>
    </row>
    <row r="165" spans="6:6" x14ac:dyDescent="0.3">
      <c r="F165" s="3"/>
    </row>
    <row r="166" spans="6:6" x14ac:dyDescent="0.3">
      <c r="F166" s="3"/>
    </row>
    <row r="167" spans="6:6" x14ac:dyDescent="0.3">
      <c r="F167" s="3"/>
    </row>
    <row r="168" spans="6:6" x14ac:dyDescent="0.3">
      <c r="F168" s="3"/>
    </row>
    <row r="169" spans="6:6" x14ac:dyDescent="0.3">
      <c r="F169" s="3"/>
    </row>
    <row r="170" spans="6:6" x14ac:dyDescent="0.3">
      <c r="F170" s="3"/>
    </row>
    <row r="171" spans="6:6" x14ac:dyDescent="0.3">
      <c r="F171" s="3"/>
    </row>
    <row r="172" spans="6:6" x14ac:dyDescent="0.3">
      <c r="F172" s="3"/>
    </row>
    <row r="173" spans="6:6" x14ac:dyDescent="0.3">
      <c r="F173" s="3"/>
    </row>
    <row r="174" spans="6:6" x14ac:dyDescent="0.3">
      <c r="F174" s="3"/>
    </row>
    <row r="175" spans="6:6" x14ac:dyDescent="0.3">
      <c r="F175" s="3"/>
    </row>
    <row r="176" spans="6:6" x14ac:dyDescent="0.3">
      <c r="F176" s="3"/>
    </row>
    <row r="177" spans="6:6" x14ac:dyDescent="0.3">
      <c r="F177" s="3"/>
    </row>
    <row r="178" spans="6:6" x14ac:dyDescent="0.3">
      <c r="F178" s="3"/>
    </row>
    <row r="179" spans="6:6" x14ac:dyDescent="0.3">
      <c r="F179" s="3"/>
    </row>
    <row r="180" spans="6:6" x14ac:dyDescent="0.3">
      <c r="F180" s="3"/>
    </row>
    <row r="181" spans="6:6" x14ac:dyDescent="0.3">
      <c r="F181" s="3"/>
    </row>
    <row r="182" spans="6:6" x14ac:dyDescent="0.3">
      <c r="F182" s="3"/>
    </row>
    <row r="183" spans="6:6" x14ac:dyDescent="0.3">
      <c r="F183" s="3"/>
    </row>
    <row r="184" spans="6:6" x14ac:dyDescent="0.3">
      <c r="F184" s="3"/>
    </row>
    <row r="185" spans="6:6" x14ac:dyDescent="0.3">
      <c r="F185" s="3"/>
    </row>
    <row r="186" spans="6:6" x14ac:dyDescent="0.3">
      <c r="F186" s="3"/>
    </row>
    <row r="187" spans="6:6" x14ac:dyDescent="0.3">
      <c r="F187" s="3"/>
    </row>
    <row r="188" spans="6:6" x14ac:dyDescent="0.3">
      <c r="F188" s="3"/>
    </row>
    <row r="189" spans="6:6" x14ac:dyDescent="0.3">
      <c r="F189" s="3"/>
    </row>
    <row r="190" spans="6:6" x14ac:dyDescent="0.3">
      <c r="F190" s="3"/>
    </row>
    <row r="191" spans="6:6" x14ac:dyDescent="0.3">
      <c r="F191" s="3"/>
    </row>
    <row r="192" spans="6:6" x14ac:dyDescent="0.3">
      <c r="F192" s="3"/>
    </row>
    <row r="193" spans="6:6" x14ac:dyDescent="0.3">
      <c r="F193" s="3"/>
    </row>
    <row r="194" spans="6:6" x14ac:dyDescent="0.3">
      <c r="F194" s="3"/>
    </row>
    <row r="195" spans="6:6" x14ac:dyDescent="0.3">
      <c r="F195" s="3"/>
    </row>
    <row r="196" spans="6:6" x14ac:dyDescent="0.3">
      <c r="F196" s="3"/>
    </row>
    <row r="197" spans="6:6" x14ac:dyDescent="0.3">
      <c r="F197" s="3"/>
    </row>
    <row r="198" spans="6:6" x14ac:dyDescent="0.3">
      <c r="F198" s="3"/>
    </row>
    <row r="199" spans="6:6" x14ac:dyDescent="0.3">
      <c r="F199" s="3"/>
    </row>
    <row r="200" spans="6:6" x14ac:dyDescent="0.3">
      <c r="F200" s="3"/>
    </row>
    <row r="201" spans="6:6" x14ac:dyDescent="0.3">
      <c r="F201" s="3"/>
    </row>
    <row r="202" spans="6:6" x14ac:dyDescent="0.3">
      <c r="F202" s="3"/>
    </row>
    <row r="203" spans="6:6" x14ac:dyDescent="0.3">
      <c r="F203" s="3"/>
    </row>
    <row r="204" spans="6:6" x14ac:dyDescent="0.3">
      <c r="F204" s="3"/>
    </row>
    <row r="205" spans="6:6" x14ac:dyDescent="0.3">
      <c r="F205" s="3"/>
    </row>
    <row r="206" spans="6:6" x14ac:dyDescent="0.3">
      <c r="F206" s="3"/>
    </row>
    <row r="207" spans="6:6" x14ac:dyDescent="0.3">
      <c r="F207" s="3"/>
    </row>
    <row r="208" spans="6:6" x14ac:dyDescent="0.3">
      <c r="F208" s="3"/>
    </row>
    <row r="209" spans="6:6" x14ac:dyDescent="0.3">
      <c r="F209" s="3"/>
    </row>
    <row r="210" spans="6:6" x14ac:dyDescent="0.3">
      <c r="F210" s="3"/>
    </row>
    <row r="211" spans="6:6" x14ac:dyDescent="0.3">
      <c r="F211" s="3"/>
    </row>
    <row r="212" spans="6:6" x14ac:dyDescent="0.3">
      <c r="F212" s="3"/>
    </row>
    <row r="213" spans="6:6" x14ac:dyDescent="0.3">
      <c r="F213" s="3"/>
    </row>
    <row r="214" spans="6:6" x14ac:dyDescent="0.3">
      <c r="F214" s="3"/>
    </row>
    <row r="215" spans="6:6" x14ac:dyDescent="0.3">
      <c r="F215" s="3"/>
    </row>
    <row r="216" spans="6:6" x14ac:dyDescent="0.3">
      <c r="F216" s="3"/>
    </row>
    <row r="217" spans="6:6" x14ac:dyDescent="0.3">
      <c r="F217" s="3"/>
    </row>
    <row r="218" spans="6:6" x14ac:dyDescent="0.3">
      <c r="F218" s="3"/>
    </row>
    <row r="219" spans="6:6" x14ac:dyDescent="0.3">
      <c r="F219" s="3"/>
    </row>
    <row r="220" spans="6:6" x14ac:dyDescent="0.3">
      <c r="F220" s="3"/>
    </row>
    <row r="221" spans="6:6" x14ac:dyDescent="0.3">
      <c r="F221" s="3"/>
    </row>
    <row r="222" spans="6:6" x14ac:dyDescent="0.3">
      <c r="F222" s="3"/>
    </row>
    <row r="223" spans="6:6" x14ac:dyDescent="0.3">
      <c r="F223" s="3"/>
    </row>
    <row r="224" spans="6:6" x14ac:dyDescent="0.3">
      <c r="F224" s="3"/>
    </row>
    <row r="225" spans="6:6" x14ac:dyDescent="0.3">
      <c r="F225" s="3"/>
    </row>
    <row r="226" spans="6:6" x14ac:dyDescent="0.3">
      <c r="F226" s="3"/>
    </row>
    <row r="227" spans="6:6" x14ac:dyDescent="0.3">
      <c r="F227" s="3"/>
    </row>
    <row r="228" spans="6:6" x14ac:dyDescent="0.3">
      <c r="F228" s="3"/>
    </row>
    <row r="229" spans="6:6" x14ac:dyDescent="0.3">
      <c r="F229" s="3"/>
    </row>
    <row r="230" spans="6:6" x14ac:dyDescent="0.3">
      <c r="F230" s="3"/>
    </row>
    <row r="231" spans="6:6" x14ac:dyDescent="0.3">
      <c r="F231" s="3"/>
    </row>
    <row r="232" spans="6:6" x14ac:dyDescent="0.3">
      <c r="F232" s="3"/>
    </row>
    <row r="233" spans="6:6" x14ac:dyDescent="0.3">
      <c r="F233" s="3"/>
    </row>
    <row r="234" spans="6:6" x14ac:dyDescent="0.3">
      <c r="F234" s="3"/>
    </row>
    <row r="235" spans="6:6" x14ac:dyDescent="0.3">
      <c r="F235" s="3"/>
    </row>
    <row r="236" spans="6:6" x14ac:dyDescent="0.3">
      <c r="F236" s="3"/>
    </row>
    <row r="237" spans="6:6" x14ac:dyDescent="0.3">
      <c r="F237" s="3"/>
    </row>
    <row r="238" spans="6:6" x14ac:dyDescent="0.3">
      <c r="F238" s="3"/>
    </row>
    <row r="239" spans="6:6" x14ac:dyDescent="0.3">
      <c r="F239" s="3"/>
    </row>
    <row r="240" spans="6:6" x14ac:dyDescent="0.3">
      <c r="F240" s="3"/>
    </row>
    <row r="241" spans="6:6" x14ac:dyDescent="0.3">
      <c r="F241" s="3"/>
    </row>
    <row r="242" spans="6:6" x14ac:dyDescent="0.3">
      <c r="F242" s="3"/>
    </row>
    <row r="243" spans="6:6" x14ac:dyDescent="0.3">
      <c r="F243" s="3"/>
    </row>
    <row r="244" spans="6:6" x14ac:dyDescent="0.3">
      <c r="F244" s="3"/>
    </row>
    <row r="245" spans="6:6" x14ac:dyDescent="0.3">
      <c r="F245" s="3"/>
    </row>
    <row r="246" spans="6:6" x14ac:dyDescent="0.3">
      <c r="F246" s="3"/>
    </row>
    <row r="247" spans="6:6" x14ac:dyDescent="0.3">
      <c r="F247" s="3"/>
    </row>
    <row r="248" spans="6:6" x14ac:dyDescent="0.3">
      <c r="F248" s="3"/>
    </row>
    <row r="249" spans="6:6" x14ac:dyDescent="0.3">
      <c r="F249" s="3"/>
    </row>
    <row r="250" spans="6:6" x14ac:dyDescent="0.3">
      <c r="F250" s="3"/>
    </row>
    <row r="251" spans="6:6" x14ac:dyDescent="0.3">
      <c r="F251" s="3"/>
    </row>
    <row r="252" spans="6:6" x14ac:dyDescent="0.3">
      <c r="F252" s="3"/>
    </row>
    <row r="253" spans="6:6" x14ac:dyDescent="0.3">
      <c r="F253" s="3"/>
    </row>
    <row r="254" spans="6:6" x14ac:dyDescent="0.3">
      <c r="F254" s="3"/>
    </row>
    <row r="255" spans="6:6" x14ac:dyDescent="0.3">
      <c r="F255" s="3"/>
    </row>
    <row r="256" spans="6:6" x14ac:dyDescent="0.3">
      <c r="F256" s="3"/>
    </row>
    <row r="257" spans="6:6" x14ac:dyDescent="0.3">
      <c r="F257" s="3"/>
    </row>
    <row r="258" spans="6:6" x14ac:dyDescent="0.3">
      <c r="F258" s="3"/>
    </row>
    <row r="259" spans="6:6" x14ac:dyDescent="0.3">
      <c r="F259" s="3"/>
    </row>
    <row r="260" spans="6:6" x14ac:dyDescent="0.3">
      <c r="F260" s="3"/>
    </row>
    <row r="261" spans="6:6" x14ac:dyDescent="0.3">
      <c r="F261" s="3"/>
    </row>
    <row r="262" spans="6:6" x14ac:dyDescent="0.3">
      <c r="F262" s="3"/>
    </row>
    <row r="263" spans="6:6" x14ac:dyDescent="0.3">
      <c r="F263" s="3"/>
    </row>
    <row r="264" spans="6:6" x14ac:dyDescent="0.3">
      <c r="F264" s="3"/>
    </row>
    <row r="265" spans="6:6" x14ac:dyDescent="0.3">
      <c r="F265" s="3"/>
    </row>
    <row r="266" spans="6:6" x14ac:dyDescent="0.3">
      <c r="F266" s="3"/>
    </row>
    <row r="267" spans="6:6" x14ac:dyDescent="0.3">
      <c r="F267" s="3"/>
    </row>
    <row r="268" spans="6:6" x14ac:dyDescent="0.3">
      <c r="F268" s="3"/>
    </row>
    <row r="269" spans="6:6" x14ac:dyDescent="0.3">
      <c r="F269" s="3"/>
    </row>
    <row r="270" spans="6:6" x14ac:dyDescent="0.3">
      <c r="F270" s="3"/>
    </row>
    <row r="271" spans="6:6" x14ac:dyDescent="0.3">
      <c r="F271" s="3"/>
    </row>
    <row r="272" spans="6:6" x14ac:dyDescent="0.3">
      <c r="F272" s="3"/>
    </row>
    <row r="273" spans="6:6" x14ac:dyDescent="0.3">
      <c r="F273" s="3"/>
    </row>
    <row r="274" spans="6:6" x14ac:dyDescent="0.3">
      <c r="F274" s="3"/>
    </row>
    <row r="275" spans="6:6" x14ac:dyDescent="0.3">
      <c r="F275" s="3"/>
    </row>
    <row r="276" spans="6:6" x14ac:dyDescent="0.3">
      <c r="F276" s="3"/>
    </row>
    <row r="277" spans="6:6" x14ac:dyDescent="0.3">
      <c r="F277" s="3"/>
    </row>
    <row r="278" spans="6:6" x14ac:dyDescent="0.3">
      <c r="F278" s="3"/>
    </row>
    <row r="279" spans="6:6" x14ac:dyDescent="0.3">
      <c r="F279" s="3"/>
    </row>
    <row r="280" spans="6:6" x14ac:dyDescent="0.3">
      <c r="F280" s="3"/>
    </row>
    <row r="281" spans="6:6" x14ac:dyDescent="0.3">
      <c r="F281" s="3"/>
    </row>
    <row r="282" spans="6:6" x14ac:dyDescent="0.3">
      <c r="F282" s="3"/>
    </row>
    <row r="283" spans="6:6" x14ac:dyDescent="0.3">
      <c r="F283" s="3"/>
    </row>
    <row r="284" spans="6:6" x14ac:dyDescent="0.3">
      <c r="F284" s="3"/>
    </row>
    <row r="285" spans="6:6" x14ac:dyDescent="0.3">
      <c r="F285" s="3"/>
    </row>
    <row r="286" spans="6:6" x14ac:dyDescent="0.3">
      <c r="F286" s="3"/>
    </row>
    <row r="287" spans="6:6" x14ac:dyDescent="0.3">
      <c r="F287" s="3"/>
    </row>
    <row r="288" spans="6:6" x14ac:dyDescent="0.3">
      <c r="F288" s="3"/>
    </row>
    <row r="289" spans="6:6" x14ac:dyDescent="0.3">
      <c r="F289" s="3"/>
    </row>
    <row r="290" spans="6:6" x14ac:dyDescent="0.3">
      <c r="F290" s="3"/>
    </row>
    <row r="291" spans="6:6" x14ac:dyDescent="0.3">
      <c r="F291" s="3"/>
    </row>
    <row r="292" spans="6:6" x14ac:dyDescent="0.3">
      <c r="F292" s="3"/>
    </row>
    <row r="293" spans="6:6" x14ac:dyDescent="0.3">
      <c r="F293" s="3"/>
    </row>
    <row r="294" spans="6:6" x14ac:dyDescent="0.3">
      <c r="F294" s="3"/>
    </row>
    <row r="295" spans="6:6" x14ac:dyDescent="0.3">
      <c r="F295" s="3"/>
    </row>
    <row r="296" spans="6:6" x14ac:dyDescent="0.3">
      <c r="F296" s="3"/>
    </row>
    <row r="297" spans="6:6" x14ac:dyDescent="0.3">
      <c r="F297" s="3"/>
    </row>
    <row r="298" spans="6:6" x14ac:dyDescent="0.3">
      <c r="F298" s="3"/>
    </row>
    <row r="299" spans="6:6" x14ac:dyDescent="0.3">
      <c r="F299" s="3"/>
    </row>
    <row r="300" spans="6:6" x14ac:dyDescent="0.3">
      <c r="F300" s="3"/>
    </row>
    <row r="301" spans="6:6" x14ac:dyDescent="0.3">
      <c r="F301" s="3"/>
    </row>
    <row r="302" spans="6:6" x14ac:dyDescent="0.3">
      <c r="F302" s="3"/>
    </row>
    <row r="303" spans="6:6" x14ac:dyDescent="0.3">
      <c r="F303" s="3"/>
    </row>
    <row r="304" spans="6:6" x14ac:dyDescent="0.3">
      <c r="F304" s="3"/>
    </row>
    <row r="305" spans="6:6" x14ac:dyDescent="0.3">
      <c r="F305" s="3"/>
    </row>
    <row r="306" spans="6:6" x14ac:dyDescent="0.3">
      <c r="F306" s="3"/>
    </row>
    <row r="307" spans="6:6" x14ac:dyDescent="0.3">
      <c r="F307" s="3"/>
    </row>
    <row r="308" spans="6:6" x14ac:dyDescent="0.3">
      <c r="F308" s="3"/>
    </row>
    <row r="309" spans="6:6" x14ac:dyDescent="0.3">
      <c r="F309" s="3"/>
    </row>
    <row r="310" spans="6:6" x14ac:dyDescent="0.3">
      <c r="F310" s="3"/>
    </row>
    <row r="311" spans="6:6" x14ac:dyDescent="0.3">
      <c r="F311" s="3"/>
    </row>
    <row r="312" spans="6:6" x14ac:dyDescent="0.3">
      <c r="F312" s="3"/>
    </row>
    <row r="313" spans="6:6" x14ac:dyDescent="0.3">
      <c r="F313" s="3"/>
    </row>
    <row r="314" spans="6:6" x14ac:dyDescent="0.3">
      <c r="F314" s="3"/>
    </row>
    <row r="315" spans="6:6" x14ac:dyDescent="0.3">
      <c r="F315" s="3"/>
    </row>
    <row r="316" spans="6:6" x14ac:dyDescent="0.3">
      <c r="F316" s="3"/>
    </row>
    <row r="317" spans="6:6" x14ac:dyDescent="0.3">
      <c r="F317" s="3"/>
    </row>
    <row r="318" spans="6:6" x14ac:dyDescent="0.3">
      <c r="F318" s="3"/>
    </row>
    <row r="319" spans="6:6" x14ac:dyDescent="0.3">
      <c r="F319" s="3"/>
    </row>
    <row r="320" spans="6:6" x14ac:dyDescent="0.3">
      <c r="F320" s="3"/>
    </row>
    <row r="321" spans="6:6" x14ac:dyDescent="0.3">
      <c r="F321" s="3"/>
    </row>
    <row r="322" spans="6:6" x14ac:dyDescent="0.3">
      <c r="F322" s="3"/>
    </row>
    <row r="323" spans="6:6" x14ac:dyDescent="0.3">
      <c r="F323" s="3"/>
    </row>
    <row r="324" spans="6:6" x14ac:dyDescent="0.3">
      <c r="F324" s="3"/>
    </row>
    <row r="325" spans="6:6" x14ac:dyDescent="0.3">
      <c r="F325" s="3"/>
    </row>
    <row r="326" spans="6:6" x14ac:dyDescent="0.3">
      <c r="F326" s="3"/>
    </row>
    <row r="327" spans="6:6" x14ac:dyDescent="0.3">
      <c r="F327" s="3"/>
    </row>
    <row r="328" spans="6:6" x14ac:dyDescent="0.3">
      <c r="F328" s="3"/>
    </row>
    <row r="329" spans="6:6" x14ac:dyDescent="0.3">
      <c r="F329" s="3"/>
    </row>
    <row r="330" spans="6:6" x14ac:dyDescent="0.3">
      <c r="F330" s="3"/>
    </row>
    <row r="331" spans="6:6" x14ac:dyDescent="0.3">
      <c r="F331" s="3"/>
    </row>
    <row r="332" spans="6:6" x14ac:dyDescent="0.3">
      <c r="F332" s="3"/>
    </row>
    <row r="333" spans="6:6" x14ac:dyDescent="0.3">
      <c r="F333" s="3"/>
    </row>
    <row r="334" spans="6:6" x14ac:dyDescent="0.3">
      <c r="F334" s="3"/>
    </row>
    <row r="335" spans="6:6" x14ac:dyDescent="0.3">
      <c r="F335" s="3"/>
    </row>
    <row r="336" spans="6:6" x14ac:dyDescent="0.3">
      <c r="F336" s="3"/>
    </row>
    <row r="337" spans="6:6" x14ac:dyDescent="0.3">
      <c r="F337" s="3"/>
    </row>
    <row r="338" spans="6:6" x14ac:dyDescent="0.3">
      <c r="F338" s="3"/>
    </row>
    <row r="339" spans="6:6" x14ac:dyDescent="0.3">
      <c r="F339" s="3"/>
    </row>
    <row r="340" spans="6:6" x14ac:dyDescent="0.3">
      <c r="F340" s="3"/>
    </row>
    <row r="341" spans="6:6" x14ac:dyDescent="0.3">
      <c r="F341" s="3"/>
    </row>
    <row r="342" spans="6:6" x14ac:dyDescent="0.3">
      <c r="F342" s="3"/>
    </row>
    <row r="343" spans="6:6" x14ac:dyDescent="0.3">
      <c r="F343" s="3"/>
    </row>
    <row r="344" spans="6:6" x14ac:dyDescent="0.3">
      <c r="F344" s="3"/>
    </row>
    <row r="345" spans="6:6" x14ac:dyDescent="0.3">
      <c r="F345" s="3"/>
    </row>
    <row r="346" spans="6:6" x14ac:dyDescent="0.3">
      <c r="F346" s="3"/>
    </row>
    <row r="347" spans="6:6" x14ac:dyDescent="0.3">
      <c r="F347" s="3"/>
    </row>
    <row r="348" spans="6:6" x14ac:dyDescent="0.3">
      <c r="F348" s="3"/>
    </row>
    <row r="349" spans="6:6" x14ac:dyDescent="0.3">
      <c r="F349" s="3"/>
    </row>
    <row r="350" spans="6:6" x14ac:dyDescent="0.3">
      <c r="F350" s="3"/>
    </row>
    <row r="351" spans="6:6" x14ac:dyDescent="0.3">
      <c r="F351" s="3"/>
    </row>
    <row r="352" spans="6:6" x14ac:dyDescent="0.3">
      <c r="F352" s="3"/>
    </row>
    <row r="353" spans="6:6" x14ac:dyDescent="0.3">
      <c r="F353" s="3"/>
    </row>
    <row r="354" spans="6:6" x14ac:dyDescent="0.3">
      <c r="F354" s="3"/>
    </row>
    <row r="355" spans="6:6" x14ac:dyDescent="0.3">
      <c r="F355" s="3"/>
    </row>
    <row r="356" spans="6:6" x14ac:dyDescent="0.3">
      <c r="F356" s="3"/>
    </row>
    <row r="357" spans="6:6" x14ac:dyDescent="0.3">
      <c r="F357" s="3"/>
    </row>
    <row r="358" spans="6:6" x14ac:dyDescent="0.3">
      <c r="F358" s="3"/>
    </row>
    <row r="359" spans="6:6" x14ac:dyDescent="0.3">
      <c r="F359" s="3"/>
    </row>
    <row r="360" spans="6:6" x14ac:dyDescent="0.3">
      <c r="F360" s="3"/>
    </row>
    <row r="361" spans="6:6" x14ac:dyDescent="0.3">
      <c r="F361" s="3"/>
    </row>
    <row r="362" spans="6:6" x14ac:dyDescent="0.3">
      <c r="F362" s="3"/>
    </row>
    <row r="363" spans="6:6" x14ac:dyDescent="0.3">
      <c r="F363" s="3"/>
    </row>
    <row r="364" spans="6:6" x14ac:dyDescent="0.3">
      <c r="F364" s="3"/>
    </row>
    <row r="365" spans="6:6" x14ac:dyDescent="0.3">
      <c r="F365" s="3"/>
    </row>
    <row r="366" spans="6:6" x14ac:dyDescent="0.3">
      <c r="F366" s="3"/>
    </row>
    <row r="367" spans="6:6" x14ac:dyDescent="0.3">
      <c r="F367" s="3"/>
    </row>
    <row r="368" spans="6:6" x14ac:dyDescent="0.3">
      <c r="F368" s="3"/>
    </row>
    <row r="369" spans="6:6" x14ac:dyDescent="0.3">
      <c r="F369" s="3"/>
    </row>
    <row r="370" spans="6:6" x14ac:dyDescent="0.3">
      <c r="F370" s="3"/>
    </row>
    <row r="371" spans="6:6" x14ac:dyDescent="0.3">
      <c r="F371" s="3"/>
    </row>
    <row r="372" spans="6:6" x14ac:dyDescent="0.3">
      <c r="F372" s="3"/>
    </row>
    <row r="373" spans="6:6" x14ac:dyDescent="0.3">
      <c r="F373" s="3"/>
    </row>
    <row r="374" spans="6:6" x14ac:dyDescent="0.3">
      <c r="F374" s="3"/>
    </row>
    <row r="375" spans="6:6" x14ac:dyDescent="0.3">
      <c r="F375" s="3"/>
    </row>
    <row r="376" spans="6:6" x14ac:dyDescent="0.3">
      <c r="F376" s="3"/>
    </row>
    <row r="377" spans="6:6" x14ac:dyDescent="0.3">
      <c r="F377" s="3"/>
    </row>
    <row r="378" spans="6:6" x14ac:dyDescent="0.3">
      <c r="F378" s="3"/>
    </row>
  </sheetData>
  <autoFilter ref="A1:O160" xr:uid="{D989956D-CD13-45E6-B862-4BF2F9F0B7E2}">
    <filterColumn colId="2">
      <filters>
        <filter val="VERIZON"/>
      </filters>
    </filterColumn>
  </autoFilter>
  <phoneticPr fontId="1" type="noConversion"/>
  <conditionalFormatting sqref="B170:B1048576 B1:B157 B159">
    <cfRule type="duplicateValues" dxfId="65" priority="48"/>
  </conditionalFormatting>
  <conditionalFormatting sqref="B170:B1048576 B151:B157 B1:B149 B159">
    <cfRule type="duplicateValues" dxfId="64" priority="43"/>
  </conditionalFormatting>
  <conditionalFormatting sqref="C135 B132:B134">
    <cfRule type="duplicateValues" dxfId="63" priority="14"/>
  </conditionalFormatting>
  <conditionalFormatting sqref="F17">
    <cfRule type="duplicateValues" dxfId="62" priority="9"/>
  </conditionalFormatting>
  <conditionalFormatting sqref="F18:F87 F124:F126 F2:F16 F89:F122 F128:F157 F159:F378">
    <cfRule type="duplicateValues" dxfId="61" priority="30"/>
  </conditionalFormatting>
  <conditionalFormatting sqref="F88">
    <cfRule type="duplicateValues" dxfId="60" priority="4"/>
  </conditionalFormatting>
  <conditionalFormatting sqref="F123">
    <cfRule type="duplicateValues" dxfId="59" priority="17"/>
  </conditionalFormatting>
  <conditionalFormatting sqref="F127">
    <cfRule type="duplicateValues" dxfId="58" priority="8"/>
  </conditionalFormatting>
  <conditionalFormatting sqref="F132">
    <cfRule type="duplicateValues" dxfId="57" priority="13"/>
  </conditionalFormatting>
  <conditionalFormatting sqref="G4:G5 B151:B157 B1:B149 B159">
    <cfRule type="duplicateValues" dxfId="56" priority="55"/>
  </conditionalFormatting>
  <pageMargins left="0.7" right="0.7" top="0.75" bottom="0.75" header="0.3" footer="0.3"/>
  <ignoredErrors>
    <ignoredError sqref="A2 A14:A16 A18:A87 A127:A136 A6:A13 A89:A125" numberStoredAsText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C219-8088-41C9-8D72-E5FC1D764B8C}">
  <sheetPr filterMode="1"/>
  <dimension ref="A1:T378"/>
  <sheetViews>
    <sheetView showGridLines="0" zoomScale="80" zoomScaleNormal="80" workbookViewId="0">
      <pane ySplit="1" topLeftCell="A163" activePane="bottomLeft" state="frozen"/>
      <selection pane="bottomLeft" activeCell="Q163" sqref="B160:Q163"/>
    </sheetView>
  </sheetViews>
  <sheetFormatPr defaultRowHeight="14.4" x14ac:dyDescent="0.3"/>
  <cols>
    <col min="1" max="1" width="8.88671875" style="21"/>
    <col min="2" max="2" width="16.33203125" style="21" bestFit="1" customWidth="1"/>
    <col min="3" max="4" width="15.6640625" style="21" bestFit="1" customWidth="1"/>
    <col min="5" max="5" width="54.109375" style="21" bestFit="1" customWidth="1"/>
    <col min="6" max="6" width="23" style="21" customWidth="1"/>
    <col min="7" max="7" width="35.44140625" style="21" bestFit="1" customWidth="1"/>
    <col min="8" max="8" width="26.33203125" style="21" bestFit="1" customWidth="1"/>
    <col min="9" max="9" width="8.88671875" style="21" bestFit="1" customWidth="1"/>
    <col min="10" max="10" width="11.5546875" style="21" bestFit="1" customWidth="1"/>
    <col min="11" max="11" width="14.77734375" style="21" bestFit="1" customWidth="1"/>
    <col min="12" max="13" width="22.33203125" style="21" bestFit="1" customWidth="1"/>
    <col min="14" max="14" width="18.88671875" style="21" bestFit="1" customWidth="1"/>
    <col min="15" max="15" width="60" style="21" bestFit="1" customWidth="1"/>
    <col min="16" max="16" width="18.44140625" style="132" bestFit="1" customWidth="1"/>
    <col min="17" max="17" width="22.44140625" style="21" bestFit="1" customWidth="1"/>
    <col min="18" max="16384" width="8.88671875" style="21"/>
  </cols>
  <sheetData>
    <row r="1" spans="1:18" x14ac:dyDescent="0.3">
      <c r="A1" s="21" t="s">
        <v>530</v>
      </c>
      <c r="B1" s="21" t="s">
        <v>531</v>
      </c>
      <c r="C1" s="21" t="s">
        <v>4</v>
      </c>
      <c r="D1" s="21" t="s">
        <v>532</v>
      </c>
      <c r="E1" s="21" t="s">
        <v>533</v>
      </c>
      <c r="F1" s="21" t="s">
        <v>534</v>
      </c>
      <c r="G1" s="21" t="s">
        <v>535</v>
      </c>
      <c r="H1" s="21" t="s">
        <v>19</v>
      </c>
      <c r="I1" s="21" t="s">
        <v>536</v>
      </c>
      <c r="J1" s="21" t="s">
        <v>537</v>
      </c>
      <c r="K1" s="21" t="s">
        <v>538</v>
      </c>
      <c r="L1" s="21" t="s">
        <v>539</v>
      </c>
      <c r="M1" s="21" t="s">
        <v>540</v>
      </c>
      <c r="N1" s="21" t="s">
        <v>541</v>
      </c>
      <c r="O1" s="21" t="s">
        <v>542</v>
      </c>
      <c r="P1" s="132" t="s">
        <v>1279</v>
      </c>
      <c r="Q1" s="21" t="s">
        <v>1283</v>
      </c>
    </row>
    <row r="2" spans="1:18" hidden="1" x14ac:dyDescent="0.3">
      <c r="A2" s="1" t="s">
        <v>544</v>
      </c>
      <c r="B2" s="21" t="s">
        <v>159</v>
      </c>
      <c r="C2" s="21" t="s">
        <v>22</v>
      </c>
      <c r="D2" s="21" t="s">
        <v>191</v>
      </c>
      <c r="E2" s="21" t="s">
        <v>545</v>
      </c>
      <c r="F2" s="3">
        <v>356964995021992</v>
      </c>
      <c r="G2" s="21" t="s">
        <v>546</v>
      </c>
      <c r="H2" s="21" t="s">
        <v>547</v>
      </c>
      <c r="I2" s="21" t="s">
        <v>548</v>
      </c>
      <c r="J2" s="21" t="s">
        <v>549</v>
      </c>
      <c r="K2" s="21" t="s">
        <v>550</v>
      </c>
      <c r="L2" s="22">
        <v>45658</v>
      </c>
      <c r="M2" s="22">
        <v>45717</v>
      </c>
      <c r="N2" s="21" t="s">
        <v>551</v>
      </c>
    </row>
    <row r="3" spans="1:18" hidden="1" x14ac:dyDescent="0.3">
      <c r="A3" s="1" t="s">
        <v>552</v>
      </c>
      <c r="B3" s="21" t="s">
        <v>135</v>
      </c>
      <c r="C3" s="21" t="s">
        <v>22</v>
      </c>
      <c r="D3" s="21" t="s">
        <v>191</v>
      </c>
      <c r="E3" s="21" t="s">
        <v>553</v>
      </c>
      <c r="F3" s="3">
        <v>352917261435522</v>
      </c>
      <c r="G3" s="21" t="s">
        <v>554</v>
      </c>
      <c r="H3" s="21" t="s">
        <v>555</v>
      </c>
      <c r="I3" s="21" t="s">
        <v>548</v>
      </c>
      <c r="J3" s="21" t="s">
        <v>549</v>
      </c>
      <c r="K3" s="21" t="s">
        <v>550</v>
      </c>
      <c r="L3" s="22">
        <v>45658</v>
      </c>
      <c r="M3" s="22">
        <v>45717</v>
      </c>
      <c r="N3" s="21" t="s">
        <v>551</v>
      </c>
    </row>
    <row r="4" spans="1:18" hidden="1" x14ac:dyDescent="0.3">
      <c r="A4" s="1" t="s">
        <v>556</v>
      </c>
      <c r="F4" s="3"/>
      <c r="L4" s="22"/>
      <c r="M4" s="22"/>
    </row>
    <row r="5" spans="1:18" hidden="1" x14ac:dyDescent="0.3">
      <c r="A5" s="1" t="s">
        <v>557</v>
      </c>
      <c r="F5" s="3"/>
      <c r="L5" s="22"/>
      <c r="M5" s="22"/>
    </row>
    <row r="6" spans="1:18" hidden="1" x14ac:dyDescent="0.3">
      <c r="A6" s="1" t="s">
        <v>558</v>
      </c>
      <c r="B6" s="21" t="s">
        <v>137</v>
      </c>
      <c r="C6" s="21" t="s">
        <v>22</v>
      </c>
      <c r="D6" s="21" t="s">
        <v>191</v>
      </c>
      <c r="E6" s="21" t="s">
        <v>559</v>
      </c>
      <c r="F6" s="3">
        <v>357205981304151</v>
      </c>
      <c r="G6" s="21" t="s">
        <v>546</v>
      </c>
      <c r="H6" s="21" t="s">
        <v>547</v>
      </c>
      <c r="I6" s="21" t="s">
        <v>548</v>
      </c>
      <c r="J6" s="21" t="s">
        <v>549</v>
      </c>
      <c r="K6" s="21" t="s">
        <v>550</v>
      </c>
      <c r="L6" s="22">
        <v>45658</v>
      </c>
      <c r="M6" s="22">
        <v>45717</v>
      </c>
      <c r="N6" s="21" t="s">
        <v>551</v>
      </c>
    </row>
    <row r="7" spans="1:18" hidden="1" x14ac:dyDescent="0.3">
      <c r="A7" s="1" t="s">
        <v>560</v>
      </c>
      <c r="B7" s="21" t="s">
        <v>123</v>
      </c>
      <c r="C7" s="21" t="s">
        <v>22</v>
      </c>
      <c r="D7" s="21" t="s">
        <v>191</v>
      </c>
      <c r="E7" s="21" t="s">
        <v>561</v>
      </c>
      <c r="F7" s="3">
        <v>356985725478830</v>
      </c>
      <c r="G7" s="21" t="s">
        <v>554</v>
      </c>
      <c r="H7" s="21" t="s">
        <v>555</v>
      </c>
      <c r="I7" s="21" t="s">
        <v>548</v>
      </c>
      <c r="J7" s="21" t="s">
        <v>549</v>
      </c>
      <c r="K7" s="21" t="s">
        <v>550</v>
      </c>
      <c r="L7" s="22">
        <v>45658</v>
      </c>
      <c r="M7" s="22">
        <v>45717</v>
      </c>
      <c r="N7" s="21" t="s">
        <v>551</v>
      </c>
    </row>
    <row r="8" spans="1:18" hidden="1" x14ac:dyDescent="0.3">
      <c r="A8" s="1" t="s">
        <v>562</v>
      </c>
      <c r="B8" s="21" t="s">
        <v>127</v>
      </c>
      <c r="C8" s="21" t="s">
        <v>22</v>
      </c>
      <c r="D8" s="21" t="s">
        <v>191</v>
      </c>
      <c r="E8" s="21" t="s">
        <v>563</v>
      </c>
      <c r="F8" s="3">
        <v>350566101441174</v>
      </c>
      <c r="G8" s="21" t="s">
        <v>564</v>
      </c>
      <c r="H8" s="21" t="s">
        <v>565</v>
      </c>
      <c r="I8" s="21" t="s">
        <v>548</v>
      </c>
      <c r="J8" s="21" t="s">
        <v>549</v>
      </c>
      <c r="K8" s="21" t="s">
        <v>550</v>
      </c>
      <c r="L8" s="22">
        <v>45658</v>
      </c>
      <c r="M8" s="22">
        <v>45717</v>
      </c>
      <c r="N8" s="21" t="s">
        <v>551</v>
      </c>
      <c r="P8" s="132" t="s">
        <v>566</v>
      </c>
    </row>
    <row r="9" spans="1:18" hidden="1" x14ac:dyDescent="0.3">
      <c r="A9" s="1" t="s">
        <v>567</v>
      </c>
      <c r="B9" s="21" t="s">
        <v>157</v>
      </c>
      <c r="C9" s="21" t="s">
        <v>22</v>
      </c>
      <c r="D9" s="21" t="s">
        <v>191</v>
      </c>
      <c r="E9" s="21" t="s">
        <v>568</v>
      </c>
      <c r="F9" s="3">
        <v>356796480675498</v>
      </c>
      <c r="G9" s="21" t="s">
        <v>564</v>
      </c>
      <c r="H9" s="21" t="s">
        <v>565</v>
      </c>
      <c r="I9" s="21" t="s">
        <v>548</v>
      </c>
      <c r="J9" s="21" t="s">
        <v>549</v>
      </c>
      <c r="K9" s="21" t="s">
        <v>550</v>
      </c>
      <c r="L9" s="22">
        <v>45658</v>
      </c>
      <c r="M9" s="22">
        <v>45717</v>
      </c>
      <c r="N9" s="21" t="s">
        <v>551</v>
      </c>
      <c r="P9" s="132" t="s">
        <v>566</v>
      </c>
    </row>
    <row r="10" spans="1:18" hidden="1" x14ac:dyDescent="0.3">
      <c r="A10" s="1" t="s">
        <v>569</v>
      </c>
      <c r="B10" s="21" t="s">
        <v>177</v>
      </c>
      <c r="C10" s="21" t="s">
        <v>22</v>
      </c>
      <c r="D10" s="21" t="s">
        <v>191</v>
      </c>
      <c r="E10" s="21" t="s">
        <v>570</v>
      </c>
      <c r="F10" s="3">
        <v>353247104496222</v>
      </c>
      <c r="G10" s="21" t="s">
        <v>564</v>
      </c>
      <c r="H10" s="21" t="s">
        <v>565</v>
      </c>
      <c r="I10" s="21" t="s">
        <v>548</v>
      </c>
      <c r="J10" s="21" t="s">
        <v>549</v>
      </c>
      <c r="K10" s="21" t="s">
        <v>550</v>
      </c>
      <c r="L10" s="22">
        <v>45658</v>
      </c>
      <c r="M10" s="22">
        <v>45717</v>
      </c>
      <c r="N10" s="21" t="s">
        <v>551</v>
      </c>
      <c r="P10" s="132" t="s">
        <v>566</v>
      </c>
    </row>
    <row r="11" spans="1:18" hidden="1" x14ac:dyDescent="0.3">
      <c r="A11" s="1" t="s">
        <v>571</v>
      </c>
      <c r="B11" s="21" t="s">
        <v>153</v>
      </c>
      <c r="C11" s="21" t="s">
        <v>22</v>
      </c>
      <c r="D11" s="21" t="s">
        <v>191</v>
      </c>
      <c r="E11" s="21" t="s">
        <v>572</v>
      </c>
      <c r="F11" s="3">
        <v>350019045940745</v>
      </c>
      <c r="G11" s="21" t="s">
        <v>573</v>
      </c>
      <c r="H11" s="21" t="s">
        <v>574</v>
      </c>
      <c r="I11" s="21" t="s">
        <v>548</v>
      </c>
      <c r="J11" s="21" t="s">
        <v>549</v>
      </c>
      <c r="K11" s="21" t="s">
        <v>550</v>
      </c>
      <c r="L11" s="22">
        <v>45658</v>
      </c>
      <c r="M11" s="22">
        <v>45717</v>
      </c>
      <c r="N11" s="21" t="s">
        <v>551</v>
      </c>
      <c r="P11" s="132" t="s">
        <v>566</v>
      </c>
    </row>
    <row r="12" spans="1:18" hidden="1" x14ac:dyDescent="0.3">
      <c r="A12" s="1" t="s">
        <v>575</v>
      </c>
      <c r="B12" s="129" t="s">
        <v>576</v>
      </c>
      <c r="C12" s="129" t="s">
        <v>577</v>
      </c>
      <c r="D12" s="129" t="s">
        <v>114</v>
      </c>
      <c r="E12" s="129" t="s">
        <v>578</v>
      </c>
      <c r="F12" s="130">
        <v>356747116811213</v>
      </c>
      <c r="G12" s="129" t="s">
        <v>573</v>
      </c>
      <c r="H12" s="129" t="s">
        <v>574</v>
      </c>
      <c r="I12" s="129" t="s">
        <v>548</v>
      </c>
      <c r="J12" s="129" t="s">
        <v>549</v>
      </c>
      <c r="K12" s="129" t="s">
        <v>550</v>
      </c>
      <c r="L12" s="131">
        <v>45658</v>
      </c>
      <c r="M12" s="131">
        <v>45717</v>
      </c>
      <c r="N12" s="129" t="s">
        <v>551</v>
      </c>
      <c r="O12" s="129" t="s">
        <v>1280</v>
      </c>
      <c r="P12" s="133">
        <v>0</v>
      </c>
      <c r="Q12" s="129" t="s">
        <v>1287</v>
      </c>
      <c r="R12" s="129"/>
    </row>
    <row r="13" spans="1:18" hidden="1" x14ac:dyDescent="0.3">
      <c r="A13" s="1" t="s">
        <v>579</v>
      </c>
      <c r="B13" s="21" t="s">
        <v>117</v>
      </c>
      <c r="C13" s="21" t="s">
        <v>22</v>
      </c>
      <c r="D13" s="21" t="s">
        <v>191</v>
      </c>
      <c r="E13" s="21" t="s">
        <v>580</v>
      </c>
      <c r="F13" s="3">
        <v>353547798360296</v>
      </c>
      <c r="G13" s="21" t="s">
        <v>581</v>
      </c>
      <c r="H13" s="21" t="s">
        <v>582</v>
      </c>
      <c r="I13" s="21" t="s">
        <v>548</v>
      </c>
      <c r="J13" s="21" t="s">
        <v>549</v>
      </c>
      <c r="K13" s="21" t="s">
        <v>550</v>
      </c>
      <c r="L13" s="22">
        <v>45658</v>
      </c>
      <c r="M13" s="22">
        <v>45717</v>
      </c>
      <c r="N13" s="21" t="s">
        <v>551</v>
      </c>
      <c r="P13" s="132" t="s">
        <v>566</v>
      </c>
    </row>
    <row r="14" spans="1:18" hidden="1" x14ac:dyDescent="0.3">
      <c r="A14" s="1" t="s">
        <v>583</v>
      </c>
      <c r="B14" s="129" t="s">
        <v>584</v>
      </c>
      <c r="C14" s="129" t="s">
        <v>577</v>
      </c>
      <c r="D14" s="129" t="s">
        <v>585</v>
      </c>
      <c r="E14" s="129" t="s">
        <v>586</v>
      </c>
      <c r="F14" s="130">
        <v>355978840919284</v>
      </c>
      <c r="G14" s="129" t="s">
        <v>587</v>
      </c>
      <c r="H14" s="129" t="s">
        <v>588</v>
      </c>
      <c r="I14" s="129" t="s">
        <v>589</v>
      </c>
      <c r="J14" s="129" t="s">
        <v>590</v>
      </c>
      <c r="K14" s="129" t="s">
        <v>550</v>
      </c>
      <c r="L14" s="131">
        <v>45658</v>
      </c>
      <c r="M14" s="131">
        <v>45717</v>
      </c>
      <c r="N14" s="129" t="s">
        <v>551</v>
      </c>
      <c r="O14" s="129"/>
      <c r="P14" s="133"/>
      <c r="Q14" s="129"/>
      <c r="R14" s="129"/>
    </row>
    <row r="15" spans="1:18" hidden="1" x14ac:dyDescent="0.3">
      <c r="A15" s="1" t="s">
        <v>591</v>
      </c>
      <c r="B15" s="21" t="s">
        <v>119</v>
      </c>
      <c r="C15" s="21" t="s">
        <v>22</v>
      </c>
      <c r="D15" s="21" t="s">
        <v>592</v>
      </c>
      <c r="E15" s="21" t="s">
        <v>586</v>
      </c>
      <c r="F15" s="3">
        <v>351700860699123</v>
      </c>
      <c r="G15" s="21" t="s">
        <v>593</v>
      </c>
      <c r="H15" s="21" t="s">
        <v>594</v>
      </c>
      <c r="I15" s="21" t="s">
        <v>589</v>
      </c>
      <c r="J15" s="21" t="s">
        <v>549</v>
      </c>
      <c r="K15" s="21" t="s">
        <v>550</v>
      </c>
      <c r="L15" s="22">
        <v>45658</v>
      </c>
      <c r="M15" s="22">
        <v>45717</v>
      </c>
      <c r="N15" s="21" t="s">
        <v>551</v>
      </c>
    </row>
    <row r="16" spans="1:18" hidden="1" x14ac:dyDescent="0.3">
      <c r="A16" s="1" t="s">
        <v>595</v>
      </c>
      <c r="B16" s="21" t="s">
        <v>253</v>
      </c>
      <c r="C16" s="21" t="s">
        <v>22</v>
      </c>
      <c r="D16" s="21" t="s">
        <v>585</v>
      </c>
      <c r="E16" s="21" t="s">
        <v>586</v>
      </c>
      <c r="F16" s="3">
        <v>355978840897134</v>
      </c>
      <c r="G16" s="21" t="s">
        <v>596</v>
      </c>
      <c r="H16" s="21" t="s">
        <v>597</v>
      </c>
      <c r="I16" s="21" t="s">
        <v>589</v>
      </c>
      <c r="J16" s="21" t="s">
        <v>549</v>
      </c>
      <c r="K16" s="21" t="s">
        <v>550</v>
      </c>
      <c r="L16" s="22">
        <v>45658</v>
      </c>
      <c r="M16" s="22">
        <v>45717</v>
      </c>
      <c r="N16" s="21" t="s">
        <v>551</v>
      </c>
    </row>
    <row r="17" spans="1:19" hidden="1" x14ac:dyDescent="0.3">
      <c r="A17" s="21">
        <v>244</v>
      </c>
      <c r="B17" s="21" t="s">
        <v>121</v>
      </c>
      <c r="C17" s="21" t="s">
        <v>22</v>
      </c>
      <c r="D17" s="21" t="s">
        <v>191</v>
      </c>
      <c r="E17" s="21" t="s">
        <v>598</v>
      </c>
      <c r="F17" s="3">
        <v>356485673725928</v>
      </c>
      <c r="G17" s="21" t="s">
        <v>599</v>
      </c>
      <c r="H17" s="21" t="s">
        <v>594</v>
      </c>
      <c r="I17" s="21" t="s">
        <v>600</v>
      </c>
      <c r="J17" s="21" t="s">
        <v>549</v>
      </c>
      <c r="K17" s="21" t="s">
        <v>550</v>
      </c>
      <c r="L17" s="22">
        <v>45658</v>
      </c>
      <c r="M17" s="22">
        <v>45717</v>
      </c>
      <c r="N17" s="21" t="s">
        <v>551</v>
      </c>
    </row>
    <row r="18" spans="1:19" hidden="1" x14ac:dyDescent="0.3">
      <c r="A18" s="1" t="s">
        <v>601</v>
      </c>
      <c r="B18" s="21" t="s">
        <v>111</v>
      </c>
      <c r="C18" s="21" t="s">
        <v>22</v>
      </c>
      <c r="D18" s="21" t="s">
        <v>602</v>
      </c>
      <c r="E18" s="21" t="s">
        <v>603</v>
      </c>
      <c r="F18" s="3">
        <v>355984450930637</v>
      </c>
      <c r="G18" s="21" t="s">
        <v>604</v>
      </c>
      <c r="H18" s="21" t="s">
        <v>597</v>
      </c>
      <c r="I18" s="21" t="s">
        <v>589</v>
      </c>
      <c r="J18" s="21" t="s">
        <v>549</v>
      </c>
      <c r="K18" s="21" t="s">
        <v>550</v>
      </c>
      <c r="L18" s="22">
        <v>45658</v>
      </c>
      <c r="M18" s="22">
        <v>45717</v>
      </c>
      <c r="N18" s="21" t="s">
        <v>551</v>
      </c>
    </row>
    <row r="19" spans="1:19" hidden="1" x14ac:dyDescent="0.3">
      <c r="A19" s="1" t="s">
        <v>605</v>
      </c>
      <c r="B19" s="21" t="s">
        <v>206</v>
      </c>
      <c r="C19" s="21" t="s">
        <v>22</v>
      </c>
      <c r="D19" s="21" t="s">
        <v>191</v>
      </c>
      <c r="E19" s="21" t="s">
        <v>606</v>
      </c>
      <c r="F19" s="3">
        <v>358091652355105</v>
      </c>
      <c r="G19" s="21" t="s">
        <v>607</v>
      </c>
      <c r="H19" s="21" t="s">
        <v>588</v>
      </c>
      <c r="I19" s="21" t="s">
        <v>600</v>
      </c>
      <c r="J19" s="21" t="s">
        <v>590</v>
      </c>
      <c r="K19" s="21" t="s">
        <v>550</v>
      </c>
      <c r="L19" s="22">
        <v>45658</v>
      </c>
      <c r="M19" s="22">
        <v>45717</v>
      </c>
      <c r="N19" s="21" t="s">
        <v>551</v>
      </c>
    </row>
    <row r="20" spans="1:19" hidden="1" x14ac:dyDescent="0.3">
      <c r="A20" s="1" t="s">
        <v>608</v>
      </c>
      <c r="B20" s="21" t="s">
        <v>97</v>
      </c>
      <c r="C20" s="21" t="s">
        <v>22</v>
      </c>
      <c r="D20" s="21" t="s">
        <v>585</v>
      </c>
      <c r="E20" s="21" t="s">
        <v>586</v>
      </c>
      <c r="F20" s="3">
        <v>355978840941007</v>
      </c>
      <c r="G20" s="21" t="s">
        <v>609</v>
      </c>
      <c r="H20" s="21" t="s">
        <v>597</v>
      </c>
      <c r="I20" s="21" t="s">
        <v>589</v>
      </c>
      <c r="J20" s="21" t="s">
        <v>549</v>
      </c>
      <c r="K20" s="21" t="s">
        <v>550</v>
      </c>
      <c r="L20" s="22">
        <v>45658</v>
      </c>
      <c r="M20" s="22">
        <v>45717</v>
      </c>
      <c r="N20" s="21" t="s">
        <v>551</v>
      </c>
    </row>
    <row r="21" spans="1:19" hidden="1" x14ac:dyDescent="0.3">
      <c r="A21" s="1" t="s">
        <v>610</v>
      </c>
      <c r="B21" s="21" t="s">
        <v>187</v>
      </c>
      <c r="C21" s="21" t="s">
        <v>22</v>
      </c>
      <c r="D21" s="21" t="s">
        <v>592</v>
      </c>
      <c r="E21" s="21" t="s">
        <v>611</v>
      </c>
      <c r="F21" s="3">
        <v>351082120997815</v>
      </c>
      <c r="G21" s="21" t="s">
        <v>612</v>
      </c>
      <c r="H21" s="21" t="s">
        <v>588</v>
      </c>
      <c r="I21" s="21" t="s">
        <v>589</v>
      </c>
      <c r="J21" s="21" t="s">
        <v>590</v>
      </c>
      <c r="K21" s="21" t="s">
        <v>550</v>
      </c>
      <c r="L21" s="22">
        <v>45658</v>
      </c>
      <c r="M21" s="22">
        <v>45717</v>
      </c>
      <c r="N21" s="21" t="s">
        <v>551</v>
      </c>
    </row>
    <row r="22" spans="1:19" hidden="1" x14ac:dyDescent="0.3">
      <c r="A22" s="1" t="s">
        <v>613</v>
      </c>
      <c r="B22" s="129" t="s">
        <v>614</v>
      </c>
      <c r="C22" s="129" t="s">
        <v>577</v>
      </c>
      <c r="D22" s="129" t="s">
        <v>585</v>
      </c>
      <c r="E22" s="129" t="s">
        <v>586</v>
      </c>
      <c r="F22" s="130">
        <v>355978840948754</v>
      </c>
      <c r="G22" s="129" t="s">
        <v>615</v>
      </c>
      <c r="H22" s="129" t="s">
        <v>616</v>
      </c>
      <c r="I22" s="129" t="s">
        <v>589</v>
      </c>
      <c r="J22" s="129" t="s">
        <v>617</v>
      </c>
      <c r="K22" s="129" t="s">
        <v>550</v>
      </c>
      <c r="L22" s="131">
        <v>45658</v>
      </c>
      <c r="M22" s="131">
        <v>45717</v>
      </c>
      <c r="N22" s="129" t="s">
        <v>551</v>
      </c>
      <c r="O22" s="129"/>
      <c r="P22" s="133"/>
      <c r="Q22" s="129"/>
      <c r="R22" s="129"/>
    </row>
    <row r="23" spans="1:19" hidden="1" x14ac:dyDescent="0.3">
      <c r="A23" s="1" t="s">
        <v>618</v>
      </c>
      <c r="B23" s="21" t="s">
        <v>251</v>
      </c>
      <c r="C23" s="21" t="s">
        <v>22</v>
      </c>
      <c r="D23" s="21" t="s">
        <v>585</v>
      </c>
      <c r="E23" s="21" t="s">
        <v>586</v>
      </c>
      <c r="F23" s="3">
        <v>355978840945446</v>
      </c>
      <c r="G23" s="21" t="s">
        <v>619</v>
      </c>
      <c r="H23" s="21" t="s">
        <v>588</v>
      </c>
      <c r="I23" s="21" t="s">
        <v>589</v>
      </c>
      <c r="J23" s="21" t="s">
        <v>590</v>
      </c>
      <c r="K23" s="21" t="s">
        <v>550</v>
      </c>
      <c r="L23" s="22">
        <v>45658</v>
      </c>
      <c r="M23" s="22">
        <v>45717</v>
      </c>
      <c r="N23" s="21" t="s">
        <v>551</v>
      </c>
    </row>
    <row r="24" spans="1:19" hidden="1" x14ac:dyDescent="0.3">
      <c r="A24" s="1" t="s">
        <v>620</v>
      </c>
      <c r="B24" s="129" t="s">
        <v>621</v>
      </c>
      <c r="C24" s="129" t="s">
        <v>577</v>
      </c>
      <c r="D24" s="129" t="s">
        <v>585</v>
      </c>
      <c r="E24" s="129" t="s">
        <v>586</v>
      </c>
      <c r="F24" s="130">
        <v>355978840949059</v>
      </c>
      <c r="G24" s="129" t="s">
        <v>622</v>
      </c>
      <c r="H24" s="129" t="s">
        <v>623</v>
      </c>
      <c r="I24" s="129" t="s">
        <v>589</v>
      </c>
      <c r="J24" s="129" t="s">
        <v>624</v>
      </c>
      <c r="K24" s="129" t="s">
        <v>550</v>
      </c>
      <c r="L24" s="131">
        <v>45762</v>
      </c>
      <c r="M24" s="131">
        <v>45762</v>
      </c>
      <c r="N24" s="129" t="s">
        <v>551</v>
      </c>
      <c r="O24" s="129"/>
      <c r="P24" s="133">
        <v>0</v>
      </c>
      <c r="Q24" s="129" t="s">
        <v>1287</v>
      </c>
      <c r="R24" s="129"/>
      <c r="S24" s="21" t="s">
        <v>1288</v>
      </c>
    </row>
    <row r="25" spans="1:19" hidden="1" x14ac:dyDescent="0.3">
      <c r="A25" s="1" t="s">
        <v>625</v>
      </c>
      <c r="B25" s="21" t="s">
        <v>165</v>
      </c>
      <c r="C25" s="21" t="s">
        <v>22</v>
      </c>
      <c r="D25" s="21" t="s">
        <v>585</v>
      </c>
      <c r="E25" s="21" t="s">
        <v>626</v>
      </c>
      <c r="F25" s="3">
        <v>351082120939429</v>
      </c>
      <c r="G25" s="21" t="s">
        <v>627</v>
      </c>
      <c r="H25" s="21" t="s">
        <v>628</v>
      </c>
      <c r="I25" s="21" t="s">
        <v>589</v>
      </c>
      <c r="J25" s="21" t="s">
        <v>624</v>
      </c>
      <c r="K25" s="21" t="s">
        <v>550</v>
      </c>
      <c r="L25" s="22">
        <v>45658</v>
      </c>
      <c r="M25" s="22">
        <v>45717</v>
      </c>
      <c r="N25" s="21" t="s">
        <v>551</v>
      </c>
    </row>
    <row r="26" spans="1:19" hidden="1" x14ac:dyDescent="0.3">
      <c r="A26" s="1" t="s">
        <v>629</v>
      </c>
      <c r="B26" s="21" t="s">
        <v>99</v>
      </c>
      <c r="C26" s="21" t="s">
        <v>22</v>
      </c>
      <c r="D26" s="21" t="s">
        <v>191</v>
      </c>
      <c r="E26" s="21" t="s">
        <v>630</v>
      </c>
      <c r="F26" s="3">
        <v>358091652696490</v>
      </c>
      <c r="G26" s="21" t="s">
        <v>631</v>
      </c>
      <c r="H26" s="21" t="s">
        <v>632</v>
      </c>
      <c r="I26" s="21" t="s">
        <v>589</v>
      </c>
      <c r="J26" s="21" t="s">
        <v>617</v>
      </c>
      <c r="K26" s="21" t="s">
        <v>550</v>
      </c>
      <c r="L26" s="22">
        <v>45658</v>
      </c>
      <c r="M26" s="22">
        <v>45717</v>
      </c>
      <c r="N26" s="21" t="s">
        <v>551</v>
      </c>
    </row>
    <row r="27" spans="1:19" hidden="1" x14ac:dyDescent="0.3">
      <c r="A27" s="1" t="s">
        <v>633</v>
      </c>
      <c r="B27" s="21" t="s">
        <v>125</v>
      </c>
      <c r="C27" s="21" t="s">
        <v>22</v>
      </c>
      <c r="D27" s="21" t="s">
        <v>191</v>
      </c>
      <c r="E27" s="21" t="s">
        <v>606</v>
      </c>
      <c r="F27" s="3">
        <v>354739183440614</v>
      </c>
      <c r="G27" s="21" t="s">
        <v>634</v>
      </c>
      <c r="H27" s="21" t="s">
        <v>632</v>
      </c>
      <c r="I27" s="21" t="s">
        <v>589</v>
      </c>
      <c r="J27" s="21" t="s">
        <v>617</v>
      </c>
      <c r="K27" s="21" t="s">
        <v>550</v>
      </c>
      <c r="L27" s="22">
        <v>45658</v>
      </c>
      <c r="M27" s="22">
        <v>45717</v>
      </c>
      <c r="N27" s="21" t="s">
        <v>551</v>
      </c>
    </row>
    <row r="28" spans="1:19" hidden="1" x14ac:dyDescent="0.3">
      <c r="A28" s="1" t="s">
        <v>635</v>
      </c>
      <c r="B28" s="129" t="s">
        <v>636</v>
      </c>
      <c r="C28" s="129" t="s">
        <v>577</v>
      </c>
      <c r="D28" s="129" t="s">
        <v>114</v>
      </c>
      <c r="E28" s="129" t="s">
        <v>578</v>
      </c>
      <c r="F28" s="130">
        <v>356749110441328</v>
      </c>
      <c r="G28" s="129" t="s">
        <v>634</v>
      </c>
      <c r="H28" s="129" t="s">
        <v>632</v>
      </c>
      <c r="I28" s="129" t="s">
        <v>589</v>
      </c>
      <c r="J28" s="129" t="s">
        <v>617</v>
      </c>
      <c r="K28" s="129" t="s">
        <v>550</v>
      </c>
      <c r="L28" s="131">
        <v>45658</v>
      </c>
      <c r="M28" s="131">
        <v>45717</v>
      </c>
      <c r="N28" s="129" t="s">
        <v>551</v>
      </c>
      <c r="O28" s="129"/>
      <c r="P28" s="133">
        <v>0</v>
      </c>
      <c r="Q28" s="129" t="s">
        <v>1287</v>
      </c>
      <c r="R28" s="129"/>
      <c r="S28" s="129"/>
    </row>
    <row r="29" spans="1:19" hidden="1" x14ac:dyDescent="0.3">
      <c r="A29" s="1" t="s">
        <v>637</v>
      </c>
      <c r="B29" s="21" t="s">
        <v>131</v>
      </c>
      <c r="C29" s="21" t="s">
        <v>22</v>
      </c>
      <c r="D29" s="21" t="s">
        <v>191</v>
      </c>
      <c r="E29" s="21" t="s">
        <v>630</v>
      </c>
      <c r="F29" s="3">
        <v>358091652064830</v>
      </c>
      <c r="G29" s="21" t="s">
        <v>638</v>
      </c>
      <c r="H29" s="21" t="s">
        <v>639</v>
      </c>
      <c r="I29" s="21" t="s">
        <v>589</v>
      </c>
      <c r="J29" s="21" t="s">
        <v>549</v>
      </c>
      <c r="K29" s="21" t="s">
        <v>550</v>
      </c>
      <c r="L29" s="22">
        <v>45658</v>
      </c>
      <c r="M29" s="22">
        <v>45717</v>
      </c>
      <c r="N29" s="21" t="s">
        <v>551</v>
      </c>
    </row>
    <row r="30" spans="1:19" hidden="1" x14ac:dyDescent="0.3">
      <c r="A30" s="1" t="s">
        <v>640</v>
      </c>
      <c r="B30" s="129" t="s">
        <v>641</v>
      </c>
      <c r="C30" s="129" t="s">
        <v>577</v>
      </c>
      <c r="D30" s="129" t="s">
        <v>114</v>
      </c>
      <c r="E30" s="129" t="s">
        <v>578</v>
      </c>
      <c r="F30" s="130">
        <v>356747112510629</v>
      </c>
      <c r="G30" s="129" t="s">
        <v>638</v>
      </c>
      <c r="H30" s="129" t="s">
        <v>639</v>
      </c>
      <c r="I30" s="129" t="s">
        <v>589</v>
      </c>
      <c r="J30" s="129" t="s">
        <v>549</v>
      </c>
      <c r="K30" s="129" t="s">
        <v>550</v>
      </c>
      <c r="L30" s="131">
        <v>45658</v>
      </c>
      <c r="M30" s="131">
        <v>45717</v>
      </c>
      <c r="N30" s="129" t="s">
        <v>551</v>
      </c>
      <c r="O30" s="129"/>
      <c r="P30" s="133"/>
      <c r="Q30" s="129"/>
      <c r="R30" s="129"/>
      <c r="S30" s="129"/>
    </row>
    <row r="31" spans="1:19" hidden="1" x14ac:dyDescent="0.3">
      <c r="A31" s="1" t="s">
        <v>642</v>
      </c>
      <c r="B31" s="21" t="s">
        <v>73</v>
      </c>
      <c r="C31" s="21" t="s">
        <v>22</v>
      </c>
      <c r="D31" s="21" t="s">
        <v>191</v>
      </c>
      <c r="E31" s="21" t="s">
        <v>630</v>
      </c>
      <c r="F31" s="3">
        <v>358091652243426</v>
      </c>
      <c r="G31" s="21" t="s">
        <v>643</v>
      </c>
      <c r="H31" s="21" t="s">
        <v>644</v>
      </c>
      <c r="I31" s="21" t="s">
        <v>589</v>
      </c>
      <c r="J31" s="21" t="s">
        <v>590</v>
      </c>
      <c r="K31" s="21" t="s">
        <v>550</v>
      </c>
      <c r="L31" s="22">
        <v>45658</v>
      </c>
      <c r="M31" s="22">
        <v>45717</v>
      </c>
      <c r="N31" s="21" t="s">
        <v>551</v>
      </c>
    </row>
    <row r="32" spans="1:19" hidden="1" x14ac:dyDescent="0.3">
      <c r="A32" s="68" t="s">
        <v>645</v>
      </c>
      <c r="B32" s="69" t="s">
        <v>646</v>
      </c>
      <c r="C32" s="69" t="s">
        <v>577</v>
      </c>
      <c r="D32" s="69" t="s">
        <v>114</v>
      </c>
      <c r="E32" s="69" t="s">
        <v>647</v>
      </c>
      <c r="F32" s="138">
        <v>355939971952932</v>
      </c>
      <c r="G32" s="69" t="s">
        <v>643</v>
      </c>
      <c r="H32" s="69" t="s">
        <v>644</v>
      </c>
      <c r="I32" s="69" t="s">
        <v>589</v>
      </c>
      <c r="J32" s="69" t="s">
        <v>590</v>
      </c>
      <c r="K32" s="69" t="s">
        <v>550</v>
      </c>
      <c r="L32" s="139">
        <v>45658</v>
      </c>
      <c r="M32" s="139">
        <v>45717</v>
      </c>
      <c r="N32" s="69" t="s">
        <v>551</v>
      </c>
      <c r="O32" s="69" t="s">
        <v>1280</v>
      </c>
      <c r="P32" s="140">
        <v>0</v>
      </c>
      <c r="Q32" s="69" t="s">
        <v>1287</v>
      </c>
      <c r="R32" s="69" t="s">
        <v>1281</v>
      </c>
      <c r="S32" s="69"/>
    </row>
    <row r="33" spans="1:19" hidden="1" x14ac:dyDescent="0.3">
      <c r="A33" s="1" t="s">
        <v>648</v>
      </c>
      <c r="B33" s="21" t="s">
        <v>61</v>
      </c>
      <c r="C33" s="21" t="s">
        <v>22</v>
      </c>
      <c r="D33" s="21" t="s">
        <v>114</v>
      </c>
      <c r="E33" s="21" t="s">
        <v>649</v>
      </c>
      <c r="F33" s="3">
        <v>357652533185275</v>
      </c>
      <c r="G33" s="21" t="s">
        <v>650</v>
      </c>
      <c r="H33" s="21" t="s">
        <v>644</v>
      </c>
      <c r="I33" s="21" t="s">
        <v>589</v>
      </c>
      <c r="J33" s="21" t="s">
        <v>590</v>
      </c>
      <c r="K33" s="21" t="s">
        <v>550</v>
      </c>
      <c r="L33" s="22">
        <v>45658</v>
      </c>
      <c r="M33" s="22">
        <v>45717</v>
      </c>
      <c r="N33" s="21" t="s">
        <v>551</v>
      </c>
    </row>
    <row r="34" spans="1:19" hidden="1" x14ac:dyDescent="0.3">
      <c r="A34" s="1" t="s">
        <v>651</v>
      </c>
      <c r="B34" s="21" t="s">
        <v>255</v>
      </c>
      <c r="C34" s="21" t="s">
        <v>22</v>
      </c>
      <c r="D34" s="21" t="s">
        <v>191</v>
      </c>
      <c r="E34" s="21" t="s">
        <v>652</v>
      </c>
      <c r="F34" s="3">
        <v>354633859827800</v>
      </c>
      <c r="G34" s="21" t="s">
        <v>650</v>
      </c>
      <c r="H34" s="21" t="s">
        <v>644</v>
      </c>
      <c r="I34" s="21" t="s">
        <v>589</v>
      </c>
      <c r="J34" s="21" t="s">
        <v>590</v>
      </c>
      <c r="K34" s="21" t="s">
        <v>550</v>
      </c>
      <c r="L34" s="22">
        <v>45658</v>
      </c>
      <c r="M34" s="22">
        <v>45717</v>
      </c>
      <c r="N34" s="21" t="s">
        <v>551</v>
      </c>
    </row>
    <row r="35" spans="1:19" hidden="1" x14ac:dyDescent="0.3">
      <c r="A35" s="1" t="s">
        <v>653</v>
      </c>
      <c r="B35" s="21" t="s">
        <v>101</v>
      </c>
      <c r="C35" s="21" t="s">
        <v>22</v>
      </c>
      <c r="D35" s="21" t="s">
        <v>191</v>
      </c>
      <c r="E35" s="21" t="s">
        <v>630</v>
      </c>
      <c r="F35" s="3">
        <v>350555043090645</v>
      </c>
      <c r="G35" s="21" t="s">
        <v>654</v>
      </c>
      <c r="H35" s="21" t="s">
        <v>632</v>
      </c>
      <c r="I35" s="21" t="s">
        <v>589</v>
      </c>
      <c r="J35" s="21" t="s">
        <v>617</v>
      </c>
      <c r="K35" s="21" t="s">
        <v>550</v>
      </c>
      <c r="L35" s="22">
        <v>45658</v>
      </c>
      <c r="M35" s="22">
        <v>45717</v>
      </c>
      <c r="N35" s="21" t="s">
        <v>551</v>
      </c>
    </row>
    <row r="36" spans="1:19" hidden="1" x14ac:dyDescent="0.3">
      <c r="A36" s="1" t="s">
        <v>655</v>
      </c>
      <c r="B36" s="129" t="s">
        <v>656</v>
      </c>
      <c r="C36" s="129" t="s">
        <v>577</v>
      </c>
      <c r="D36" s="129" t="s">
        <v>114</v>
      </c>
      <c r="E36" s="129" t="s">
        <v>657</v>
      </c>
      <c r="F36" s="130">
        <v>359455081195458</v>
      </c>
      <c r="G36" s="129" t="s">
        <v>654</v>
      </c>
      <c r="H36" s="129" t="s">
        <v>632</v>
      </c>
      <c r="I36" s="129" t="s">
        <v>589</v>
      </c>
      <c r="J36" s="129" t="s">
        <v>617</v>
      </c>
      <c r="K36" s="129" t="s">
        <v>550</v>
      </c>
      <c r="L36" s="131">
        <v>45658</v>
      </c>
      <c r="M36" s="131">
        <v>45717</v>
      </c>
      <c r="N36" s="129" t="s">
        <v>551</v>
      </c>
      <c r="O36" s="129"/>
      <c r="P36" s="133">
        <v>0</v>
      </c>
      <c r="Q36" s="129" t="s">
        <v>1287</v>
      </c>
      <c r="R36" s="129"/>
      <c r="S36" s="129"/>
    </row>
    <row r="37" spans="1:19" hidden="1" x14ac:dyDescent="0.3">
      <c r="A37" s="1" t="s">
        <v>658</v>
      </c>
      <c r="B37" s="21" t="s">
        <v>49</v>
      </c>
      <c r="C37" s="21" t="s">
        <v>22</v>
      </c>
      <c r="D37" s="21" t="s">
        <v>114</v>
      </c>
      <c r="E37" s="21" t="s">
        <v>649</v>
      </c>
      <c r="F37" s="3">
        <v>351036279350523</v>
      </c>
      <c r="G37" s="21" t="s">
        <v>659</v>
      </c>
      <c r="H37" s="21" t="s">
        <v>660</v>
      </c>
      <c r="I37" s="21" t="s">
        <v>589</v>
      </c>
      <c r="J37" s="21" t="s">
        <v>624</v>
      </c>
      <c r="K37" s="21" t="s">
        <v>550</v>
      </c>
      <c r="L37" s="22">
        <v>45658</v>
      </c>
      <c r="M37" s="22">
        <v>45717</v>
      </c>
      <c r="N37" s="21" t="s">
        <v>551</v>
      </c>
    </row>
    <row r="38" spans="1:19" hidden="1" x14ac:dyDescent="0.3">
      <c r="A38" s="1" t="s">
        <v>661</v>
      </c>
      <c r="B38" s="21" t="s">
        <v>69</v>
      </c>
      <c r="C38" s="21" t="s">
        <v>22</v>
      </c>
      <c r="D38" s="21" t="s">
        <v>191</v>
      </c>
      <c r="E38" s="21" t="s">
        <v>606</v>
      </c>
      <c r="F38" s="3">
        <v>359346671900953</v>
      </c>
      <c r="G38" s="21" t="s">
        <v>659</v>
      </c>
      <c r="H38" s="21" t="s">
        <v>660</v>
      </c>
      <c r="I38" s="21" t="s">
        <v>589</v>
      </c>
      <c r="J38" s="21" t="s">
        <v>624</v>
      </c>
      <c r="K38" s="21" t="s">
        <v>550</v>
      </c>
      <c r="L38" s="22">
        <v>45658</v>
      </c>
      <c r="M38" s="22">
        <v>45717</v>
      </c>
      <c r="N38" s="21" t="s">
        <v>551</v>
      </c>
    </row>
    <row r="39" spans="1:19" hidden="1" x14ac:dyDescent="0.3">
      <c r="A39" s="1" t="s">
        <v>662</v>
      </c>
      <c r="B39" s="21" t="s">
        <v>67</v>
      </c>
      <c r="C39" s="21" t="s">
        <v>22</v>
      </c>
      <c r="D39" s="21" t="s">
        <v>191</v>
      </c>
      <c r="E39" s="21" t="s">
        <v>630</v>
      </c>
      <c r="F39" s="3">
        <v>358469523459878</v>
      </c>
      <c r="G39" s="21" t="s">
        <v>663</v>
      </c>
      <c r="H39" s="21" t="s">
        <v>660</v>
      </c>
      <c r="I39" s="21" t="s">
        <v>600</v>
      </c>
      <c r="J39" s="21" t="s">
        <v>624</v>
      </c>
      <c r="K39" s="21" t="s">
        <v>550</v>
      </c>
      <c r="L39" s="22">
        <v>45658</v>
      </c>
      <c r="M39" s="22">
        <v>45717</v>
      </c>
      <c r="N39" s="21" t="s">
        <v>551</v>
      </c>
    </row>
    <row r="40" spans="1:19" hidden="1" x14ac:dyDescent="0.3">
      <c r="A40" s="151" t="s">
        <v>664</v>
      </c>
      <c r="B40" s="129" t="s">
        <v>665</v>
      </c>
      <c r="C40" s="129" t="s">
        <v>577</v>
      </c>
      <c r="D40" s="129" t="s">
        <v>114</v>
      </c>
      <c r="E40" s="129" t="s">
        <v>666</v>
      </c>
      <c r="F40" s="130">
        <v>353036091434008</v>
      </c>
      <c r="G40" s="129" t="s">
        <v>663</v>
      </c>
      <c r="H40" s="129" t="s">
        <v>660</v>
      </c>
      <c r="I40" s="129" t="s">
        <v>600</v>
      </c>
      <c r="J40" s="129" t="s">
        <v>624</v>
      </c>
      <c r="K40" s="129" t="s">
        <v>550</v>
      </c>
      <c r="L40" s="131">
        <v>45658</v>
      </c>
      <c r="M40" s="131">
        <v>45717</v>
      </c>
      <c r="N40" s="129" t="s">
        <v>551</v>
      </c>
      <c r="O40" s="129"/>
      <c r="P40" s="133"/>
      <c r="Q40" s="129"/>
      <c r="R40" s="129"/>
      <c r="S40" s="129"/>
    </row>
    <row r="41" spans="1:19" hidden="1" x14ac:dyDescent="0.3">
      <c r="A41" s="1" t="s">
        <v>667</v>
      </c>
      <c r="B41" s="21" t="s">
        <v>210</v>
      </c>
      <c r="C41" s="21" t="s">
        <v>22</v>
      </c>
      <c r="D41" s="21" t="s">
        <v>114</v>
      </c>
      <c r="E41" s="21" t="s">
        <v>649</v>
      </c>
      <c r="F41" s="3">
        <v>359552541402290</v>
      </c>
      <c r="G41" s="21" t="s">
        <v>668</v>
      </c>
      <c r="H41" s="21" t="s">
        <v>639</v>
      </c>
      <c r="I41" s="21" t="s">
        <v>589</v>
      </c>
      <c r="J41" s="21" t="s">
        <v>549</v>
      </c>
      <c r="K41" s="21" t="s">
        <v>550</v>
      </c>
      <c r="L41" s="22">
        <v>45658</v>
      </c>
      <c r="M41" s="22">
        <v>45717</v>
      </c>
      <c r="N41" s="21" t="s">
        <v>551</v>
      </c>
    </row>
    <row r="42" spans="1:19" hidden="1" x14ac:dyDescent="0.3">
      <c r="A42" s="1" t="s">
        <v>669</v>
      </c>
      <c r="B42" s="21" t="s">
        <v>71</v>
      </c>
      <c r="C42" s="21" t="s">
        <v>22</v>
      </c>
      <c r="D42" s="21" t="s">
        <v>191</v>
      </c>
      <c r="E42" s="21" t="s">
        <v>606</v>
      </c>
      <c r="F42" s="3">
        <v>359673359617900</v>
      </c>
      <c r="G42" s="21" t="s">
        <v>670</v>
      </c>
      <c r="H42" s="21" t="s">
        <v>644</v>
      </c>
      <c r="I42" s="21" t="s">
        <v>589</v>
      </c>
      <c r="J42" s="21" t="s">
        <v>590</v>
      </c>
      <c r="K42" s="21" t="s">
        <v>550</v>
      </c>
      <c r="L42" s="22">
        <v>45658</v>
      </c>
      <c r="M42" s="22">
        <v>45717</v>
      </c>
      <c r="N42" s="21" t="s">
        <v>551</v>
      </c>
    </row>
    <row r="43" spans="1:19" hidden="1" x14ac:dyDescent="0.3">
      <c r="A43" s="1" t="s">
        <v>671</v>
      </c>
      <c r="B43" s="21" t="s">
        <v>138</v>
      </c>
      <c r="C43" s="21" t="s">
        <v>22</v>
      </c>
      <c r="D43" s="21" t="s">
        <v>114</v>
      </c>
      <c r="E43" s="21" t="s">
        <v>649</v>
      </c>
      <c r="F43" s="3">
        <v>350698365612057</v>
      </c>
      <c r="G43" s="21" t="s">
        <v>670</v>
      </c>
      <c r="H43" s="21" t="s">
        <v>644</v>
      </c>
      <c r="I43" s="21" t="s">
        <v>589</v>
      </c>
      <c r="J43" s="21" t="s">
        <v>590</v>
      </c>
      <c r="K43" s="21" t="s">
        <v>550</v>
      </c>
      <c r="L43" s="22">
        <v>45658</v>
      </c>
      <c r="M43" s="22">
        <v>45717</v>
      </c>
      <c r="N43" s="21" t="s">
        <v>551</v>
      </c>
    </row>
    <row r="44" spans="1:19" hidden="1" x14ac:dyDescent="0.3">
      <c r="A44" s="1" t="s">
        <v>672</v>
      </c>
      <c r="B44" s="21" t="s">
        <v>149</v>
      </c>
      <c r="C44" s="21" t="s">
        <v>22</v>
      </c>
      <c r="D44" s="21" t="s">
        <v>191</v>
      </c>
      <c r="E44" s="21" t="s">
        <v>630</v>
      </c>
      <c r="F44" s="3">
        <v>358091652946366</v>
      </c>
      <c r="G44" s="21" t="s">
        <v>673</v>
      </c>
      <c r="H44" s="21" t="s">
        <v>644</v>
      </c>
      <c r="I44" s="21" t="s">
        <v>600</v>
      </c>
      <c r="J44" s="21" t="s">
        <v>590</v>
      </c>
      <c r="K44" s="21" t="s">
        <v>550</v>
      </c>
      <c r="L44" s="22">
        <v>45658</v>
      </c>
      <c r="M44" s="22">
        <v>45717</v>
      </c>
      <c r="N44" s="21" t="s">
        <v>551</v>
      </c>
    </row>
    <row r="45" spans="1:19" hidden="1" x14ac:dyDescent="0.3">
      <c r="A45" s="1" t="s">
        <v>674</v>
      </c>
      <c r="B45" s="21" t="s">
        <v>33</v>
      </c>
      <c r="C45" s="21" t="s">
        <v>22</v>
      </c>
      <c r="D45" s="21" t="s">
        <v>191</v>
      </c>
      <c r="E45" s="21" t="s">
        <v>630</v>
      </c>
      <c r="F45" s="3">
        <v>358469523212749</v>
      </c>
      <c r="G45" s="21" t="s">
        <v>675</v>
      </c>
      <c r="H45" s="21" t="s">
        <v>632</v>
      </c>
      <c r="I45" s="21" t="s">
        <v>600</v>
      </c>
      <c r="J45" s="21" t="s">
        <v>617</v>
      </c>
      <c r="K45" s="21" t="s">
        <v>550</v>
      </c>
      <c r="L45" s="22">
        <v>45658</v>
      </c>
      <c r="M45" s="22">
        <v>45717</v>
      </c>
      <c r="N45" s="21" t="s">
        <v>551</v>
      </c>
    </row>
    <row r="46" spans="1:19" hidden="1" x14ac:dyDescent="0.3">
      <c r="A46" s="1" t="s">
        <v>676</v>
      </c>
      <c r="B46" s="21" t="s">
        <v>53</v>
      </c>
      <c r="C46" s="21" t="s">
        <v>22</v>
      </c>
      <c r="D46" s="21" t="s">
        <v>114</v>
      </c>
      <c r="E46" s="21" t="s">
        <v>649</v>
      </c>
      <c r="F46" s="3">
        <v>351036279079825</v>
      </c>
      <c r="G46" s="21" t="s">
        <v>675</v>
      </c>
      <c r="H46" s="21" t="s">
        <v>632</v>
      </c>
      <c r="I46" s="21" t="s">
        <v>600</v>
      </c>
      <c r="J46" s="21" t="s">
        <v>617</v>
      </c>
      <c r="K46" s="21" t="s">
        <v>550</v>
      </c>
      <c r="L46" s="22">
        <v>45658</v>
      </c>
      <c r="M46" s="22">
        <v>45717</v>
      </c>
      <c r="N46" s="21" t="s">
        <v>551</v>
      </c>
    </row>
    <row r="47" spans="1:19" hidden="1" x14ac:dyDescent="0.3">
      <c r="A47" s="1" t="s">
        <v>677</v>
      </c>
      <c r="B47" s="21" t="s">
        <v>147</v>
      </c>
      <c r="C47" s="21" t="s">
        <v>22</v>
      </c>
      <c r="D47" s="21" t="s">
        <v>191</v>
      </c>
      <c r="E47" s="21" t="s">
        <v>630</v>
      </c>
      <c r="F47" s="3">
        <v>358891503498404</v>
      </c>
      <c r="G47" s="21" t="s">
        <v>678</v>
      </c>
      <c r="H47" s="21" t="s">
        <v>632</v>
      </c>
      <c r="I47" s="21" t="s">
        <v>589</v>
      </c>
      <c r="J47" s="21" t="s">
        <v>617</v>
      </c>
      <c r="K47" s="21" t="s">
        <v>550</v>
      </c>
      <c r="L47" s="22">
        <v>45658</v>
      </c>
      <c r="M47" s="22">
        <v>45717</v>
      </c>
      <c r="N47" s="21" t="s">
        <v>551</v>
      </c>
    </row>
    <row r="48" spans="1:19" hidden="1" x14ac:dyDescent="0.3">
      <c r="A48" s="1" t="s">
        <v>679</v>
      </c>
      <c r="B48" s="21" t="s">
        <v>680</v>
      </c>
      <c r="C48" s="21" t="s">
        <v>577</v>
      </c>
      <c r="D48" s="21" t="s">
        <v>114</v>
      </c>
      <c r="E48" s="21" t="s">
        <v>578</v>
      </c>
      <c r="F48" s="3">
        <v>356747113348383</v>
      </c>
      <c r="G48" s="21" t="s">
        <v>678</v>
      </c>
      <c r="H48" s="21" t="s">
        <v>632</v>
      </c>
      <c r="I48" s="21" t="s">
        <v>589</v>
      </c>
      <c r="J48" s="21" t="s">
        <v>617</v>
      </c>
      <c r="K48" s="21" t="s">
        <v>550</v>
      </c>
      <c r="L48" s="22">
        <v>45658</v>
      </c>
      <c r="M48" s="22">
        <v>45717</v>
      </c>
      <c r="N48" s="21" t="s">
        <v>551</v>
      </c>
    </row>
    <row r="49" spans="1:20" hidden="1" x14ac:dyDescent="0.3">
      <c r="A49" s="1" t="s">
        <v>681</v>
      </c>
      <c r="B49" s="21" t="s">
        <v>169</v>
      </c>
      <c r="C49" s="21" t="s">
        <v>22</v>
      </c>
      <c r="D49" s="21" t="s">
        <v>191</v>
      </c>
      <c r="E49" s="21" t="s">
        <v>630</v>
      </c>
      <c r="F49" s="3">
        <v>358091652425510</v>
      </c>
      <c r="G49" s="21" t="s">
        <v>682</v>
      </c>
      <c r="H49" s="21" t="s">
        <v>639</v>
      </c>
      <c r="I49" s="21" t="s">
        <v>589</v>
      </c>
      <c r="J49" s="21" t="s">
        <v>549</v>
      </c>
      <c r="K49" s="21" t="s">
        <v>550</v>
      </c>
      <c r="L49" s="22">
        <v>45658</v>
      </c>
      <c r="M49" s="22">
        <v>45717</v>
      </c>
      <c r="N49" s="21" t="s">
        <v>551</v>
      </c>
    </row>
    <row r="50" spans="1:20" hidden="1" x14ac:dyDescent="0.3">
      <c r="A50" s="1" t="s">
        <v>683</v>
      </c>
      <c r="B50" s="129" t="s">
        <v>684</v>
      </c>
      <c r="C50" s="129" t="s">
        <v>577</v>
      </c>
      <c r="D50" s="129" t="s">
        <v>114</v>
      </c>
      <c r="E50" s="129" t="s">
        <v>578</v>
      </c>
      <c r="F50" s="130">
        <v>356747116798246</v>
      </c>
      <c r="G50" s="129" t="s">
        <v>682</v>
      </c>
      <c r="H50" s="129" t="s">
        <v>639</v>
      </c>
      <c r="I50" s="129" t="s">
        <v>589</v>
      </c>
      <c r="J50" s="129" t="s">
        <v>549</v>
      </c>
      <c r="K50" s="129" t="s">
        <v>550</v>
      </c>
      <c r="L50" s="131">
        <v>45658</v>
      </c>
      <c r="M50" s="131">
        <v>45717</v>
      </c>
      <c r="N50" s="129" t="s">
        <v>551</v>
      </c>
      <c r="O50" s="129"/>
      <c r="P50" s="133">
        <v>0</v>
      </c>
      <c r="Q50" s="129" t="s">
        <v>1284</v>
      </c>
      <c r="R50" s="129"/>
      <c r="S50" s="129"/>
      <c r="T50" s="129"/>
    </row>
    <row r="51" spans="1:20" hidden="1" x14ac:dyDescent="0.3">
      <c r="A51" s="1" t="s">
        <v>685</v>
      </c>
      <c r="B51" s="129" t="s">
        <v>686</v>
      </c>
      <c r="C51" s="129" t="s">
        <v>577</v>
      </c>
      <c r="D51" s="129" t="s">
        <v>114</v>
      </c>
      <c r="E51" s="129" t="s">
        <v>578</v>
      </c>
      <c r="F51" s="130">
        <v>356747116975323</v>
      </c>
      <c r="G51" s="129" t="s">
        <v>687</v>
      </c>
      <c r="H51" s="129" t="s">
        <v>660</v>
      </c>
      <c r="I51" s="129" t="s">
        <v>589</v>
      </c>
      <c r="J51" s="129" t="s">
        <v>624</v>
      </c>
      <c r="K51" s="129" t="s">
        <v>550</v>
      </c>
      <c r="L51" s="131">
        <v>45658</v>
      </c>
      <c r="M51" s="131">
        <v>45717</v>
      </c>
      <c r="N51" s="129" t="s">
        <v>551</v>
      </c>
      <c r="O51" s="129"/>
      <c r="P51" s="133"/>
      <c r="Q51" s="129"/>
      <c r="R51" s="129"/>
    </row>
    <row r="52" spans="1:20" hidden="1" x14ac:dyDescent="0.3">
      <c r="A52" s="1" t="s">
        <v>688</v>
      </c>
      <c r="B52" s="21" t="s">
        <v>181</v>
      </c>
      <c r="C52" s="21" t="s">
        <v>22</v>
      </c>
      <c r="D52" s="21" t="s">
        <v>191</v>
      </c>
      <c r="E52" s="21" t="s">
        <v>630</v>
      </c>
      <c r="F52" s="3">
        <v>356815603426132</v>
      </c>
      <c r="G52" s="21" t="s">
        <v>687</v>
      </c>
      <c r="H52" s="21" t="s">
        <v>660</v>
      </c>
      <c r="I52" s="21" t="s">
        <v>589</v>
      </c>
      <c r="J52" s="21" t="s">
        <v>624</v>
      </c>
      <c r="K52" s="21" t="s">
        <v>550</v>
      </c>
      <c r="L52" s="22">
        <v>45658</v>
      </c>
      <c r="M52" s="22">
        <v>45717</v>
      </c>
      <c r="N52" s="21" t="s">
        <v>551</v>
      </c>
    </row>
    <row r="53" spans="1:20" hidden="1" x14ac:dyDescent="0.3">
      <c r="A53" s="1" t="s">
        <v>689</v>
      </c>
      <c r="B53" s="21" t="s">
        <v>233</v>
      </c>
      <c r="C53" s="21" t="s">
        <v>22</v>
      </c>
      <c r="D53" s="21" t="s">
        <v>191</v>
      </c>
      <c r="E53" s="21" t="s">
        <v>580</v>
      </c>
      <c r="F53" s="3">
        <v>353696746318607</v>
      </c>
      <c r="G53" s="21" t="s">
        <v>690</v>
      </c>
      <c r="H53" s="21" t="s">
        <v>691</v>
      </c>
      <c r="I53" s="21" t="s">
        <v>589</v>
      </c>
      <c r="J53" s="21" t="s">
        <v>549</v>
      </c>
      <c r="K53" s="21" t="s">
        <v>550</v>
      </c>
      <c r="L53" s="22">
        <v>45658</v>
      </c>
      <c r="M53" s="22">
        <v>45717</v>
      </c>
      <c r="N53" s="21" t="s">
        <v>551</v>
      </c>
    </row>
    <row r="54" spans="1:20" hidden="1" x14ac:dyDescent="0.3">
      <c r="A54" s="1" t="s">
        <v>692</v>
      </c>
      <c r="B54" s="21" t="s">
        <v>75</v>
      </c>
      <c r="C54" s="21" t="s">
        <v>22</v>
      </c>
      <c r="D54" s="21" t="s">
        <v>191</v>
      </c>
      <c r="E54" s="21" t="s">
        <v>630</v>
      </c>
      <c r="F54" s="3">
        <v>358091652408037</v>
      </c>
      <c r="G54" s="21" t="s">
        <v>693</v>
      </c>
      <c r="H54" s="21" t="s">
        <v>632</v>
      </c>
      <c r="I54" s="21" t="s">
        <v>589</v>
      </c>
      <c r="J54" s="21" t="s">
        <v>617</v>
      </c>
      <c r="K54" s="21" t="s">
        <v>550</v>
      </c>
      <c r="L54" s="22">
        <v>45658</v>
      </c>
      <c r="M54" s="22">
        <v>45717</v>
      </c>
      <c r="N54" s="21" t="s">
        <v>551</v>
      </c>
    </row>
    <row r="55" spans="1:20" hidden="1" x14ac:dyDescent="0.3">
      <c r="A55" s="1" t="s">
        <v>694</v>
      </c>
      <c r="B55" s="69" t="s">
        <v>695</v>
      </c>
      <c r="C55" s="69" t="s">
        <v>577</v>
      </c>
      <c r="D55" s="69" t="s">
        <v>114</v>
      </c>
      <c r="E55" s="69" t="s">
        <v>696</v>
      </c>
      <c r="F55" s="138">
        <v>355254195678622</v>
      </c>
      <c r="G55" s="69" t="s">
        <v>693</v>
      </c>
      <c r="H55" s="69" t="s">
        <v>632</v>
      </c>
      <c r="I55" s="69" t="s">
        <v>589</v>
      </c>
      <c r="J55" s="69" t="s">
        <v>617</v>
      </c>
      <c r="K55" s="69" t="s">
        <v>1025</v>
      </c>
      <c r="L55" s="139">
        <v>45658</v>
      </c>
      <c r="M55" s="139">
        <v>45717</v>
      </c>
      <c r="N55" s="69" t="s">
        <v>551</v>
      </c>
      <c r="O55" s="69" t="s">
        <v>1044</v>
      </c>
      <c r="P55" s="140"/>
      <c r="Q55" s="69"/>
      <c r="R55" s="69"/>
      <c r="S55" s="69" t="s">
        <v>1282</v>
      </c>
      <c r="T55" s="69"/>
    </row>
    <row r="56" spans="1:20" hidden="1" x14ac:dyDescent="0.3">
      <c r="A56" s="1" t="s">
        <v>697</v>
      </c>
      <c r="B56" s="21" t="s">
        <v>43</v>
      </c>
      <c r="C56" s="21" t="s">
        <v>22</v>
      </c>
      <c r="D56" s="21" t="s">
        <v>114</v>
      </c>
      <c r="E56" s="21" t="s">
        <v>649</v>
      </c>
      <c r="F56" s="3">
        <v>359552545614718</v>
      </c>
      <c r="G56" s="21" t="s">
        <v>698</v>
      </c>
      <c r="H56" s="21" t="s">
        <v>639</v>
      </c>
      <c r="I56" s="21" t="s">
        <v>589</v>
      </c>
      <c r="J56" s="21" t="s">
        <v>549</v>
      </c>
      <c r="K56" s="21" t="s">
        <v>550</v>
      </c>
      <c r="L56" s="22">
        <v>45658</v>
      </c>
      <c r="M56" s="22">
        <v>45717</v>
      </c>
      <c r="N56" s="21" t="s">
        <v>551</v>
      </c>
    </row>
    <row r="57" spans="1:20" hidden="1" x14ac:dyDescent="0.3">
      <c r="A57" s="1" t="s">
        <v>699</v>
      </c>
      <c r="B57" s="21" t="s">
        <v>161</v>
      </c>
      <c r="C57" s="21" t="s">
        <v>22</v>
      </c>
      <c r="D57" s="21" t="s">
        <v>191</v>
      </c>
      <c r="E57" s="21" t="s">
        <v>580</v>
      </c>
      <c r="F57" s="3">
        <v>353547795738981</v>
      </c>
      <c r="G57" s="21" t="s">
        <v>698</v>
      </c>
      <c r="H57" s="21" t="s">
        <v>639</v>
      </c>
      <c r="I57" s="21" t="s">
        <v>589</v>
      </c>
      <c r="J57" s="21" t="s">
        <v>549</v>
      </c>
      <c r="K57" s="21" t="s">
        <v>550</v>
      </c>
      <c r="L57" s="22">
        <v>45658</v>
      </c>
      <c r="M57" s="22">
        <v>45717</v>
      </c>
      <c r="N57" s="21" t="s">
        <v>551</v>
      </c>
    </row>
    <row r="58" spans="1:20" hidden="1" x14ac:dyDescent="0.3">
      <c r="A58" s="1" t="s">
        <v>700</v>
      </c>
      <c r="B58" s="21" t="s">
        <v>701</v>
      </c>
      <c r="C58" s="21" t="s">
        <v>577</v>
      </c>
      <c r="D58" s="21" t="s">
        <v>114</v>
      </c>
      <c r="E58" s="21" t="s">
        <v>696</v>
      </c>
      <c r="F58" s="3">
        <v>357883402867509</v>
      </c>
      <c r="G58" s="21" t="s">
        <v>702</v>
      </c>
      <c r="H58" s="21" t="s">
        <v>644</v>
      </c>
      <c r="I58" s="21" t="s">
        <v>589</v>
      </c>
      <c r="J58" s="21" t="s">
        <v>590</v>
      </c>
      <c r="K58" s="21" t="s">
        <v>1025</v>
      </c>
      <c r="L58" s="22">
        <v>45658</v>
      </c>
      <c r="M58" s="22">
        <v>45717</v>
      </c>
      <c r="N58" s="21" t="s">
        <v>551</v>
      </c>
    </row>
    <row r="59" spans="1:20" hidden="1" x14ac:dyDescent="0.3">
      <c r="A59" s="1" t="s">
        <v>703</v>
      </c>
      <c r="B59" s="21" t="s">
        <v>183</v>
      </c>
      <c r="C59" s="21" t="s">
        <v>22</v>
      </c>
      <c r="D59" s="21" t="s">
        <v>191</v>
      </c>
      <c r="E59" s="21" t="s">
        <v>630</v>
      </c>
      <c r="F59" s="3">
        <v>350980291513736</v>
      </c>
      <c r="G59" s="21" t="s">
        <v>702</v>
      </c>
      <c r="H59" s="21" t="s">
        <v>644</v>
      </c>
      <c r="I59" s="21" t="s">
        <v>589</v>
      </c>
      <c r="J59" s="21" t="s">
        <v>590</v>
      </c>
      <c r="K59" s="21" t="s">
        <v>550</v>
      </c>
      <c r="L59" s="22">
        <v>45658</v>
      </c>
      <c r="M59" s="22">
        <v>45717</v>
      </c>
      <c r="N59" s="21" t="s">
        <v>551</v>
      </c>
    </row>
    <row r="60" spans="1:20" hidden="1" x14ac:dyDescent="0.3">
      <c r="A60" s="1" t="s">
        <v>704</v>
      </c>
      <c r="B60" s="21" t="s">
        <v>189</v>
      </c>
      <c r="C60" s="21" t="s">
        <v>22</v>
      </c>
      <c r="F60" s="3"/>
      <c r="G60" s="21" t="s">
        <v>705</v>
      </c>
      <c r="H60" s="21" t="s">
        <v>706</v>
      </c>
      <c r="I60" s="21" t="s">
        <v>589</v>
      </c>
      <c r="J60" s="21" t="s">
        <v>617</v>
      </c>
      <c r="L60" s="22"/>
      <c r="M60" s="22"/>
      <c r="O60" s="21" t="s">
        <v>707</v>
      </c>
    </row>
    <row r="61" spans="1:20" hidden="1" x14ac:dyDescent="0.3">
      <c r="A61" s="1" t="s">
        <v>708</v>
      </c>
      <c r="B61" s="129" t="s">
        <v>709</v>
      </c>
      <c r="C61" s="129" t="s">
        <v>577</v>
      </c>
      <c r="D61" s="129" t="s">
        <v>114</v>
      </c>
      <c r="E61" s="129" t="s">
        <v>696</v>
      </c>
      <c r="F61" s="130">
        <v>357652533500689</v>
      </c>
      <c r="G61" s="129" t="s">
        <v>710</v>
      </c>
      <c r="H61" s="129" t="s">
        <v>639</v>
      </c>
      <c r="I61" s="129" t="s">
        <v>600</v>
      </c>
      <c r="J61" s="129" t="s">
        <v>549</v>
      </c>
      <c r="K61" s="129" t="s">
        <v>550</v>
      </c>
      <c r="L61" s="131">
        <v>45658</v>
      </c>
      <c r="M61" s="131">
        <v>45717</v>
      </c>
      <c r="N61" s="129" t="s">
        <v>551</v>
      </c>
      <c r="O61" s="129"/>
      <c r="P61" s="133">
        <v>0</v>
      </c>
      <c r="Q61" s="129" t="s">
        <v>1287</v>
      </c>
      <c r="R61" s="129"/>
    </row>
    <row r="62" spans="1:20" hidden="1" x14ac:dyDescent="0.3">
      <c r="A62" s="1" t="s">
        <v>711</v>
      </c>
      <c r="B62" s="21" t="s">
        <v>237</v>
      </c>
      <c r="C62" s="21" t="s">
        <v>22</v>
      </c>
      <c r="D62" s="21" t="s">
        <v>114</v>
      </c>
      <c r="E62" s="21" t="s">
        <v>649</v>
      </c>
      <c r="F62" s="3">
        <v>359552541604085</v>
      </c>
      <c r="G62" s="21" t="s">
        <v>712</v>
      </c>
      <c r="H62" s="21" t="s">
        <v>639</v>
      </c>
      <c r="I62" s="21" t="s">
        <v>589</v>
      </c>
      <c r="J62" s="21" t="s">
        <v>549</v>
      </c>
      <c r="K62" s="21" t="s">
        <v>550</v>
      </c>
      <c r="L62" s="22">
        <v>45658</v>
      </c>
      <c r="M62" s="22">
        <v>45717</v>
      </c>
      <c r="N62" s="21" t="s">
        <v>551</v>
      </c>
    </row>
    <row r="63" spans="1:20" hidden="1" x14ac:dyDescent="0.3">
      <c r="A63" s="1" t="s">
        <v>713</v>
      </c>
      <c r="B63" s="21" t="s">
        <v>51</v>
      </c>
      <c r="C63" s="21" t="s">
        <v>22</v>
      </c>
      <c r="D63" s="21" t="s">
        <v>114</v>
      </c>
      <c r="E63" s="21" t="s">
        <v>649</v>
      </c>
      <c r="F63" s="3">
        <v>357652530925137</v>
      </c>
      <c r="G63" s="21" t="s">
        <v>714</v>
      </c>
      <c r="H63" s="21" t="s">
        <v>644</v>
      </c>
      <c r="I63" s="21" t="s">
        <v>589</v>
      </c>
      <c r="J63" s="21" t="s">
        <v>590</v>
      </c>
      <c r="K63" s="21" t="s">
        <v>550</v>
      </c>
      <c r="L63" s="22">
        <v>45658</v>
      </c>
      <c r="M63" s="22">
        <v>45717</v>
      </c>
      <c r="N63" s="21" t="s">
        <v>551</v>
      </c>
    </row>
    <row r="64" spans="1:20" hidden="1" x14ac:dyDescent="0.3">
      <c r="A64" s="1" t="s">
        <v>715</v>
      </c>
      <c r="B64" s="21" t="s">
        <v>105</v>
      </c>
      <c r="C64" s="21" t="s">
        <v>22</v>
      </c>
      <c r="D64" s="21" t="s">
        <v>191</v>
      </c>
      <c r="E64" s="21" t="s">
        <v>716</v>
      </c>
      <c r="F64" s="3">
        <v>351139862096055</v>
      </c>
      <c r="G64" s="21" t="s">
        <v>714</v>
      </c>
      <c r="H64" s="21" t="s">
        <v>644</v>
      </c>
      <c r="I64" s="21" t="s">
        <v>589</v>
      </c>
      <c r="J64" s="21" t="s">
        <v>590</v>
      </c>
      <c r="K64" s="21" t="s">
        <v>550</v>
      </c>
      <c r="L64" s="22">
        <v>45658</v>
      </c>
      <c r="M64" s="22">
        <v>45717</v>
      </c>
      <c r="N64" s="21" t="s">
        <v>551</v>
      </c>
    </row>
    <row r="65" spans="1:18" hidden="1" x14ac:dyDescent="0.3">
      <c r="A65" s="1" t="s">
        <v>717</v>
      </c>
      <c r="B65" s="21" t="s">
        <v>249</v>
      </c>
      <c r="C65" s="21" t="s">
        <v>22</v>
      </c>
      <c r="D65" s="21" t="s">
        <v>191</v>
      </c>
      <c r="E65" s="21" t="s">
        <v>606</v>
      </c>
      <c r="F65" s="3">
        <v>358091652248979</v>
      </c>
      <c r="G65" s="21" t="s">
        <v>718</v>
      </c>
      <c r="H65" s="21" t="s">
        <v>644</v>
      </c>
      <c r="I65" s="21" t="s">
        <v>589</v>
      </c>
      <c r="J65" s="21" t="s">
        <v>590</v>
      </c>
      <c r="K65" s="21" t="s">
        <v>550</v>
      </c>
      <c r="L65" s="22">
        <v>45658</v>
      </c>
      <c r="M65" s="22">
        <v>45717</v>
      </c>
      <c r="N65" s="21" t="s">
        <v>551</v>
      </c>
    </row>
    <row r="66" spans="1:18" hidden="1" x14ac:dyDescent="0.3">
      <c r="A66" s="1" t="s">
        <v>719</v>
      </c>
      <c r="B66" s="129" t="s">
        <v>720</v>
      </c>
      <c r="C66" s="129" t="s">
        <v>577</v>
      </c>
      <c r="D66" s="129" t="s">
        <v>114</v>
      </c>
      <c r="E66" s="129" t="s">
        <v>696</v>
      </c>
      <c r="F66" s="130">
        <v>359552540047567</v>
      </c>
      <c r="G66" s="129" t="s">
        <v>718</v>
      </c>
      <c r="H66" s="129" t="s">
        <v>644</v>
      </c>
      <c r="I66" s="129" t="s">
        <v>589</v>
      </c>
      <c r="J66" s="129" t="s">
        <v>590</v>
      </c>
      <c r="K66" s="129" t="s">
        <v>550</v>
      </c>
      <c r="L66" s="131">
        <v>45658</v>
      </c>
      <c r="M66" s="131">
        <v>45717</v>
      </c>
      <c r="N66" s="129" t="s">
        <v>551</v>
      </c>
      <c r="O66" s="129"/>
      <c r="P66" s="133">
        <v>0</v>
      </c>
      <c r="Q66" s="129" t="s">
        <v>1287</v>
      </c>
      <c r="R66" s="129"/>
    </row>
    <row r="67" spans="1:18" hidden="1" x14ac:dyDescent="0.3">
      <c r="A67" s="1" t="s">
        <v>721</v>
      </c>
      <c r="B67" s="21" t="s">
        <v>45</v>
      </c>
      <c r="C67" s="21" t="s">
        <v>22</v>
      </c>
      <c r="D67" s="21" t="s">
        <v>114</v>
      </c>
      <c r="E67" s="21" t="s">
        <v>649</v>
      </c>
      <c r="F67" s="3">
        <v>359552545484377</v>
      </c>
      <c r="G67" s="21" t="s">
        <v>722</v>
      </c>
      <c r="H67" s="21" t="s">
        <v>639</v>
      </c>
      <c r="I67" s="21" t="s">
        <v>589</v>
      </c>
      <c r="J67" s="21" t="s">
        <v>549</v>
      </c>
      <c r="K67" s="21" t="s">
        <v>550</v>
      </c>
      <c r="L67" s="22">
        <v>45658</v>
      </c>
      <c r="M67" s="22">
        <v>45717</v>
      </c>
      <c r="N67" s="21" t="s">
        <v>551</v>
      </c>
    </row>
    <row r="68" spans="1:18" hidden="1" x14ac:dyDescent="0.3">
      <c r="A68" s="1" t="s">
        <v>723</v>
      </c>
      <c r="B68" s="21" t="s">
        <v>173</v>
      </c>
      <c r="C68" s="21" t="s">
        <v>22</v>
      </c>
      <c r="D68" s="21" t="s">
        <v>191</v>
      </c>
      <c r="E68" s="21" t="s">
        <v>580</v>
      </c>
      <c r="F68" s="3">
        <v>352820547105259</v>
      </c>
      <c r="G68" s="21" t="s">
        <v>722</v>
      </c>
      <c r="H68" s="21" t="s">
        <v>639</v>
      </c>
      <c r="I68" s="21" t="s">
        <v>589</v>
      </c>
      <c r="J68" s="21" t="s">
        <v>549</v>
      </c>
      <c r="K68" s="21" t="s">
        <v>550</v>
      </c>
      <c r="L68" s="22">
        <v>45658</v>
      </c>
      <c r="M68" s="22">
        <v>45717</v>
      </c>
      <c r="N68" s="21" t="s">
        <v>551</v>
      </c>
    </row>
    <row r="69" spans="1:18" hidden="1" x14ac:dyDescent="0.3">
      <c r="A69" s="1" t="s">
        <v>724</v>
      </c>
      <c r="B69" s="129" t="s">
        <v>725</v>
      </c>
      <c r="C69" s="129" t="s">
        <v>577</v>
      </c>
      <c r="D69" s="129" t="s">
        <v>114</v>
      </c>
      <c r="E69" s="129" t="s">
        <v>578</v>
      </c>
      <c r="F69" s="130">
        <v>356750112980248</v>
      </c>
      <c r="G69" s="129" t="s">
        <v>726</v>
      </c>
      <c r="H69" s="129" t="s">
        <v>639</v>
      </c>
      <c r="I69" s="129" t="s">
        <v>589</v>
      </c>
      <c r="J69" s="129" t="s">
        <v>549</v>
      </c>
      <c r="K69" s="129" t="s">
        <v>550</v>
      </c>
      <c r="L69" s="131">
        <v>45658</v>
      </c>
      <c r="M69" s="131">
        <v>45717</v>
      </c>
      <c r="N69" s="129" t="s">
        <v>551</v>
      </c>
      <c r="O69" s="129"/>
      <c r="P69" s="133">
        <v>0</v>
      </c>
      <c r="Q69" s="129" t="s">
        <v>1289</v>
      </c>
      <c r="R69" s="129"/>
    </row>
    <row r="70" spans="1:18" hidden="1" x14ac:dyDescent="0.3">
      <c r="A70" s="1" t="s">
        <v>727</v>
      </c>
      <c r="B70" s="21" t="s">
        <v>179</v>
      </c>
      <c r="C70" s="21" t="s">
        <v>22</v>
      </c>
      <c r="D70" s="21" t="s">
        <v>191</v>
      </c>
      <c r="E70" s="21" t="s">
        <v>630</v>
      </c>
      <c r="F70" s="3">
        <v>350980291914207</v>
      </c>
      <c r="G70" s="21" t="s">
        <v>726</v>
      </c>
      <c r="H70" s="21" t="s">
        <v>639</v>
      </c>
      <c r="I70" s="21" t="s">
        <v>589</v>
      </c>
      <c r="J70" s="21" t="s">
        <v>549</v>
      </c>
      <c r="K70" s="21" t="s">
        <v>550</v>
      </c>
      <c r="L70" s="22">
        <v>45658</v>
      </c>
      <c r="M70" s="22">
        <v>45717</v>
      </c>
      <c r="N70" s="21" t="s">
        <v>551</v>
      </c>
    </row>
    <row r="71" spans="1:18" hidden="1" x14ac:dyDescent="0.3">
      <c r="A71" s="1" t="s">
        <v>728</v>
      </c>
      <c r="B71" s="21" t="s">
        <v>204</v>
      </c>
      <c r="C71" s="21" t="s">
        <v>22</v>
      </c>
      <c r="D71" s="21" t="s">
        <v>191</v>
      </c>
      <c r="E71" s="21" t="s">
        <v>606</v>
      </c>
      <c r="F71" s="3">
        <v>350980291790359</v>
      </c>
      <c r="G71" s="21" t="s">
        <v>729</v>
      </c>
      <c r="H71" s="21" t="s">
        <v>644</v>
      </c>
      <c r="I71" s="21" t="s">
        <v>589</v>
      </c>
      <c r="J71" s="21" t="s">
        <v>590</v>
      </c>
      <c r="K71" s="21" t="s">
        <v>550</v>
      </c>
      <c r="L71" s="22">
        <v>45658</v>
      </c>
      <c r="M71" s="22">
        <v>45717</v>
      </c>
      <c r="N71" s="21" t="s">
        <v>551</v>
      </c>
    </row>
    <row r="72" spans="1:18" hidden="1" x14ac:dyDescent="0.3">
      <c r="A72" s="1" t="s">
        <v>730</v>
      </c>
      <c r="B72" s="21" t="s">
        <v>239</v>
      </c>
      <c r="C72" s="21" t="s">
        <v>22</v>
      </c>
      <c r="D72" s="21" t="s">
        <v>191</v>
      </c>
      <c r="E72" s="21" t="s">
        <v>630</v>
      </c>
      <c r="F72" s="3">
        <v>358091652927259</v>
      </c>
      <c r="G72" s="21" t="s">
        <v>731</v>
      </c>
      <c r="H72" s="21" t="s">
        <v>639</v>
      </c>
      <c r="I72" s="21" t="s">
        <v>600</v>
      </c>
      <c r="J72" s="21" t="s">
        <v>549</v>
      </c>
      <c r="K72" s="21" t="s">
        <v>550</v>
      </c>
      <c r="L72" s="22">
        <v>45658</v>
      </c>
      <c r="M72" s="22">
        <v>45717</v>
      </c>
      <c r="N72" s="21" t="s">
        <v>551</v>
      </c>
    </row>
    <row r="73" spans="1:18" hidden="1" x14ac:dyDescent="0.3">
      <c r="A73" s="1" t="s">
        <v>732</v>
      </c>
      <c r="B73" s="21" t="s">
        <v>77</v>
      </c>
      <c r="C73" s="21" t="s">
        <v>22</v>
      </c>
      <c r="D73" s="21" t="s">
        <v>191</v>
      </c>
      <c r="E73" s="21" t="s">
        <v>630</v>
      </c>
      <c r="F73" s="3">
        <v>358091652253870</v>
      </c>
      <c r="G73" s="21" t="s">
        <v>733</v>
      </c>
      <c r="H73" s="21" t="s">
        <v>660</v>
      </c>
      <c r="I73" s="21" t="s">
        <v>589</v>
      </c>
      <c r="J73" s="21" t="s">
        <v>624</v>
      </c>
      <c r="K73" s="21" t="s">
        <v>550</v>
      </c>
      <c r="L73" s="22">
        <v>45658</v>
      </c>
      <c r="M73" s="22">
        <v>45717</v>
      </c>
      <c r="N73" s="21" t="s">
        <v>551</v>
      </c>
    </row>
    <row r="74" spans="1:18" hidden="1" x14ac:dyDescent="0.3">
      <c r="A74" s="1" t="s">
        <v>734</v>
      </c>
      <c r="B74" s="145" t="s">
        <v>735</v>
      </c>
      <c r="C74" s="145" t="s">
        <v>577</v>
      </c>
      <c r="D74" s="145" t="s">
        <v>114</v>
      </c>
      <c r="E74" s="145" t="s">
        <v>736</v>
      </c>
      <c r="F74" s="146">
        <v>354887094162445</v>
      </c>
      <c r="G74" s="145" t="s">
        <v>733</v>
      </c>
      <c r="H74" s="145" t="s">
        <v>660</v>
      </c>
      <c r="I74" s="145" t="s">
        <v>589</v>
      </c>
      <c r="J74" s="145" t="s">
        <v>624</v>
      </c>
      <c r="K74" s="145" t="s">
        <v>550</v>
      </c>
      <c r="L74" s="147">
        <v>45658</v>
      </c>
      <c r="M74" s="147">
        <v>45717</v>
      </c>
      <c r="N74" s="145" t="s">
        <v>551</v>
      </c>
      <c r="O74" s="145"/>
      <c r="P74" s="148">
        <v>0</v>
      </c>
      <c r="Q74" s="145" t="s">
        <v>1287</v>
      </c>
      <c r="R74" s="145"/>
    </row>
    <row r="75" spans="1:18" hidden="1" x14ac:dyDescent="0.3">
      <c r="A75" s="1" t="s">
        <v>737</v>
      </c>
      <c r="B75" s="21" t="s">
        <v>107</v>
      </c>
      <c r="C75" s="21" t="s">
        <v>22</v>
      </c>
      <c r="D75" s="21" t="s">
        <v>191</v>
      </c>
      <c r="E75" s="21" t="s">
        <v>630</v>
      </c>
      <c r="F75" s="3">
        <v>355701905876441</v>
      </c>
      <c r="G75" s="21" t="s">
        <v>738</v>
      </c>
      <c r="H75" s="21" t="s">
        <v>639</v>
      </c>
      <c r="I75" s="21" t="s">
        <v>589</v>
      </c>
      <c r="J75" s="21" t="s">
        <v>549</v>
      </c>
      <c r="K75" s="21" t="s">
        <v>550</v>
      </c>
      <c r="L75" s="22">
        <v>45658</v>
      </c>
      <c r="M75" s="22">
        <v>45717</v>
      </c>
      <c r="N75" s="21" t="s">
        <v>551</v>
      </c>
    </row>
    <row r="76" spans="1:18" hidden="1" x14ac:dyDescent="0.3">
      <c r="A76" s="1" t="s">
        <v>739</v>
      </c>
      <c r="B76" s="21" t="s">
        <v>63</v>
      </c>
      <c r="C76" s="21" t="s">
        <v>22</v>
      </c>
      <c r="D76" s="21" t="s">
        <v>191</v>
      </c>
      <c r="E76" s="21" t="s">
        <v>606</v>
      </c>
      <c r="F76" s="3">
        <v>359673358192681</v>
      </c>
      <c r="G76" s="21" t="s">
        <v>740</v>
      </c>
      <c r="H76" s="21" t="s">
        <v>660</v>
      </c>
      <c r="I76" s="21" t="s">
        <v>589</v>
      </c>
      <c r="J76" s="21" t="s">
        <v>624</v>
      </c>
      <c r="K76" s="21" t="s">
        <v>550</v>
      </c>
      <c r="L76" s="22">
        <v>45658</v>
      </c>
      <c r="M76" s="22">
        <v>45717</v>
      </c>
      <c r="N76" s="21" t="s">
        <v>551</v>
      </c>
    </row>
    <row r="77" spans="1:18" hidden="1" x14ac:dyDescent="0.3">
      <c r="A77" s="1" t="s">
        <v>741</v>
      </c>
      <c r="B77" s="21" t="s">
        <v>140</v>
      </c>
      <c r="C77" s="21" t="s">
        <v>22</v>
      </c>
      <c r="D77" s="21" t="s">
        <v>114</v>
      </c>
      <c r="E77" s="21" t="s">
        <v>649</v>
      </c>
      <c r="F77" s="3">
        <v>350698365491957</v>
      </c>
      <c r="G77" s="21" t="s">
        <v>740</v>
      </c>
      <c r="H77" s="21" t="s">
        <v>660</v>
      </c>
      <c r="I77" s="21" t="s">
        <v>589</v>
      </c>
      <c r="J77" s="21" t="s">
        <v>624</v>
      </c>
      <c r="K77" s="21" t="s">
        <v>550</v>
      </c>
      <c r="L77" s="22">
        <v>45658</v>
      </c>
      <c r="M77" s="22">
        <v>45717</v>
      </c>
      <c r="N77" s="21" t="s">
        <v>551</v>
      </c>
    </row>
    <row r="78" spans="1:18" hidden="1" x14ac:dyDescent="0.3">
      <c r="A78" s="1" t="s">
        <v>742</v>
      </c>
      <c r="B78" s="21" t="s">
        <v>59</v>
      </c>
      <c r="C78" s="21" t="s">
        <v>22</v>
      </c>
      <c r="D78" s="21" t="s">
        <v>114</v>
      </c>
      <c r="E78" s="21" t="s">
        <v>649</v>
      </c>
      <c r="F78" s="3">
        <v>357652533102288</v>
      </c>
      <c r="G78" s="21" t="s">
        <v>743</v>
      </c>
      <c r="H78" s="21" t="s">
        <v>632</v>
      </c>
      <c r="I78" s="21" t="s">
        <v>589</v>
      </c>
      <c r="J78" s="21" t="s">
        <v>617</v>
      </c>
      <c r="K78" s="21" t="s">
        <v>550</v>
      </c>
      <c r="L78" s="22">
        <v>45658</v>
      </c>
      <c r="M78" s="22">
        <v>45717</v>
      </c>
      <c r="N78" s="21" t="s">
        <v>551</v>
      </c>
    </row>
    <row r="79" spans="1:18" hidden="1" x14ac:dyDescent="0.3">
      <c r="A79" s="1" t="s">
        <v>744</v>
      </c>
      <c r="B79" s="21" t="s">
        <v>79</v>
      </c>
      <c r="C79" s="21" t="s">
        <v>22</v>
      </c>
      <c r="D79" s="21" t="s">
        <v>191</v>
      </c>
      <c r="E79" s="21" t="s">
        <v>606</v>
      </c>
      <c r="F79" s="3">
        <v>358469523073430</v>
      </c>
      <c r="G79" s="21" t="s">
        <v>743</v>
      </c>
      <c r="H79" s="21" t="s">
        <v>632</v>
      </c>
      <c r="I79" s="21" t="s">
        <v>589</v>
      </c>
      <c r="J79" s="21" t="s">
        <v>617</v>
      </c>
      <c r="K79" s="21" t="s">
        <v>550</v>
      </c>
      <c r="L79" s="22">
        <v>45658</v>
      </c>
      <c r="M79" s="22">
        <v>45717</v>
      </c>
      <c r="N79" s="21" t="s">
        <v>551</v>
      </c>
    </row>
    <row r="80" spans="1:18" hidden="1" x14ac:dyDescent="0.3">
      <c r="A80" s="1" t="s">
        <v>745</v>
      </c>
      <c r="B80" s="21" t="s">
        <v>26</v>
      </c>
      <c r="C80" s="21" t="s">
        <v>22</v>
      </c>
      <c r="D80" s="21" t="s">
        <v>191</v>
      </c>
      <c r="E80" s="21" t="s">
        <v>652</v>
      </c>
      <c r="F80" s="3">
        <v>355241389009441</v>
      </c>
      <c r="G80" s="21" t="s">
        <v>746</v>
      </c>
      <c r="H80" s="21" t="s">
        <v>632</v>
      </c>
      <c r="I80" s="21" t="s">
        <v>589</v>
      </c>
      <c r="J80" s="21" t="s">
        <v>617</v>
      </c>
      <c r="K80" s="21" t="s">
        <v>550</v>
      </c>
      <c r="L80" s="22">
        <v>45658</v>
      </c>
      <c r="M80" s="22">
        <v>45717</v>
      </c>
      <c r="N80" s="21" t="s">
        <v>551</v>
      </c>
    </row>
    <row r="81" spans="1:18" hidden="1" x14ac:dyDescent="0.3">
      <c r="A81" s="1" t="s">
        <v>747</v>
      </c>
      <c r="B81" s="21" t="s">
        <v>55</v>
      </c>
      <c r="C81" s="21" t="s">
        <v>22</v>
      </c>
      <c r="D81" s="21" t="s">
        <v>114</v>
      </c>
      <c r="E81" s="21" t="s">
        <v>649</v>
      </c>
      <c r="F81" s="3">
        <v>356134571555397</v>
      </c>
      <c r="G81" s="21" t="s">
        <v>746</v>
      </c>
      <c r="H81" s="21" t="s">
        <v>632</v>
      </c>
      <c r="I81" s="21" t="s">
        <v>589</v>
      </c>
      <c r="J81" s="21" t="s">
        <v>617</v>
      </c>
      <c r="K81" s="21" t="s">
        <v>550</v>
      </c>
      <c r="L81" s="22">
        <v>45658</v>
      </c>
      <c r="M81" s="22">
        <v>45717</v>
      </c>
      <c r="N81" s="21" t="s">
        <v>551</v>
      </c>
    </row>
    <row r="82" spans="1:18" hidden="1" x14ac:dyDescent="0.3">
      <c r="A82" s="1" t="s">
        <v>748</v>
      </c>
      <c r="B82" s="21" t="s">
        <v>129</v>
      </c>
      <c r="C82" s="21" t="s">
        <v>22</v>
      </c>
      <c r="D82" s="21" t="s">
        <v>191</v>
      </c>
      <c r="E82" s="21" t="s">
        <v>606</v>
      </c>
      <c r="F82" s="3">
        <v>358091652370831</v>
      </c>
      <c r="G82" s="21" t="s">
        <v>749</v>
      </c>
      <c r="H82" s="21" t="s">
        <v>691</v>
      </c>
      <c r="I82" s="21" t="s">
        <v>589</v>
      </c>
      <c r="J82" s="21" t="s">
        <v>549</v>
      </c>
      <c r="K82" s="21" t="s">
        <v>550</v>
      </c>
      <c r="L82" s="22">
        <v>45658</v>
      </c>
      <c r="M82" s="22">
        <v>45717</v>
      </c>
      <c r="N82" s="21" t="s">
        <v>551</v>
      </c>
    </row>
    <row r="83" spans="1:18" hidden="1" x14ac:dyDescent="0.3">
      <c r="A83" s="1" t="s">
        <v>750</v>
      </c>
      <c r="B83" s="21" t="s">
        <v>23</v>
      </c>
      <c r="C83" s="21" t="s">
        <v>22</v>
      </c>
      <c r="D83" s="21" t="s">
        <v>191</v>
      </c>
      <c r="E83" s="21" t="s">
        <v>652</v>
      </c>
      <c r="F83" s="3">
        <v>355241387671119</v>
      </c>
      <c r="G83" s="21" t="s">
        <v>751</v>
      </c>
      <c r="H83" s="21" t="s">
        <v>639</v>
      </c>
      <c r="I83" s="21" t="s">
        <v>589</v>
      </c>
      <c r="J83" s="21" t="s">
        <v>549</v>
      </c>
      <c r="K83" s="21" t="s">
        <v>550</v>
      </c>
      <c r="L83" s="22">
        <v>45658</v>
      </c>
      <c r="M83" s="22">
        <v>45717</v>
      </c>
      <c r="N83" s="21" t="s">
        <v>551</v>
      </c>
    </row>
    <row r="84" spans="1:18" hidden="1" x14ac:dyDescent="0.3">
      <c r="A84" s="1" t="s">
        <v>752</v>
      </c>
      <c r="B84" s="21" t="s">
        <v>58</v>
      </c>
      <c r="C84" s="21" t="s">
        <v>22</v>
      </c>
      <c r="D84" s="21" t="s">
        <v>114</v>
      </c>
      <c r="E84" s="21" t="s">
        <v>649</v>
      </c>
      <c r="F84" s="3">
        <v>356134571624649</v>
      </c>
      <c r="G84" s="21" t="s">
        <v>751</v>
      </c>
      <c r="H84" s="21" t="s">
        <v>639</v>
      </c>
      <c r="I84" s="21" t="s">
        <v>589</v>
      </c>
      <c r="J84" s="21" t="s">
        <v>549</v>
      </c>
      <c r="K84" s="21" t="s">
        <v>550</v>
      </c>
      <c r="L84" s="22">
        <v>45658</v>
      </c>
      <c r="M84" s="22">
        <v>45717</v>
      </c>
      <c r="N84" s="21" t="s">
        <v>551</v>
      </c>
    </row>
    <row r="85" spans="1:18" hidden="1" x14ac:dyDescent="0.3">
      <c r="A85" s="1" t="s">
        <v>753</v>
      </c>
      <c r="B85" s="21" t="s">
        <v>25</v>
      </c>
      <c r="C85" s="21" t="s">
        <v>22</v>
      </c>
      <c r="D85" s="21" t="s">
        <v>191</v>
      </c>
      <c r="E85" s="21" t="s">
        <v>652</v>
      </c>
      <c r="F85" s="3">
        <v>355241389008385</v>
      </c>
      <c r="G85" s="21" t="s">
        <v>754</v>
      </c>
      <c r="H85" s="21" t="s">
        <v>755</v>
      </c>
      <c r="I85" s="21" t="s">
        <v>589</v>
      </c>
      <c r="J85" s="21" t="s">
        <v>624</v>
      </c>
      <c r="K85" s="21" t="s">
        <v>550</v>
      </c>
      <c r="L85" s="22">
        <v>45658</v>
      </c>
      <c r="M85" s="22">
        <v>45717</v>
      </c>
      <c r="N85" s="21" t="s">
        <v>551</v>
      </c>
    </row>
    <row r="86" spans="1:18" hidden="1" x14ac:dyDescent="0.3">
      <c r="A86" s="1" t="s">
        <v>756</v>
      </c>
      <c r="B86" s="21" t="s">
        <v>57</v>
      </c>
      <c r="C86" s="21" t="s">
        <v>22</v>
      </c>
      <c r="D86" s="21" t="s">
        <v>114</v>
      </c>
      <c r="E86" s="21" t="s">
        <v>649</v>
      </c>
      <c r="F86" s="3">
        <v>356134571250718</v>
      </c>
      <c r="G86" s="21" t="s">
        <v>754</v>
      </c>
      <c r="H86" s="21" t="s">
        <v>755</v>
      </c>
      <c r="I86" s="21" t="s">
        <v>589</v>
      </c>
      <c r="J86" s="21" t="s">
        <v>624</v>
      </c>
      <c r="K86" s="21" t="s">
        <v>550</v>
      </c>
      <c r="L86" s="22">
        <v>45658</v>
      </c>
      <c r="M86" s="22">
        <v>45717</v>
      </c>
      <c r="N86" s="21" t="s">
        <v>551</v>
      </c>
    </row>
    <row r="87" spans="1:18" hidden="1" x14ac:dyDescent="0.3">
      <c r="A87" s="1" t="s">
        <v>757</v>
      </c>
      <c r="B87" s="129" t="s">
        <v>758</v>
      </c>
      <c r="C87" s="129" t="s">
        <v>577</v>
      </c>
      <c r="D87" s="129" t="s">
        <v>114</v>
      </c>
      <c r="E87" s="129" t="s">
        <v>696</v>
      </c>
      <c r="F87" s="130">
        <v>350698362572957</v>
      </c>
      <c r="G87" s="129" t="s">
        <v>759</v>
      </c>
      <c r="H87" s="129" t="s">
        <v>632</v>
      </c>
      <c r="I87" s="129" t="s">
        <v>589</v>
      </c>
      <c r="J87" s="129" t="s">
        <v>617</v>
      </c>
      <c r="K87" s="129" t="s">
        <v>550</v>
      </c>
      <c r="L87" s="131">
        <v>45658</v>
      </c>
      <c r="M87" s="131">
        <v>45717</v>
      </c>
      <c r="N87" s="129" t="s">
        <v>551</v>
      </c>
      <c r="O87" s="129"/>
      <c r="P87" s="133"/>
      <c r="Q87" s="129"/>
      <c r="R87" s="129"/>
    </row>
    <row r="88" spans="1:18" hidden="1" x14ac:dyDescent="0.3">
      <c r="A88" s="21">
        <v>246</v>
      </c>
      <c r="B88" s="21" t="s">
        <v>257</v>
      </c>
      <c r="C88" s="21" t="s">
        <v>22</v>
      </c>
      <c r="D88" s="21" t="s">
        <v>191</v>
      </c>
      <c r="E88" s="21" t="s">
        <v>760</v>
      </c>
      <c r="F88" s="3">
        <v>354807370356289</v>
      </c>
      <c r="G88" s="21" t="s">
        <v>761</v>
      </c>
      <c r="H88" s="21" t="s">
        <v>762</v>
      </c>
      <c r="I88" s="21" t="s">
        <v>589</v>
      </c>
      <c r="J88" s="21" t="s">
        <v>590</v>
      </c>
      <c r="K88" s="21" t="s">
        <v>550</v>
      </c>
      <c r="L88" s="22">
        <v>45658</v>
      </c>
      <c r="M88" s="22">
        <v>45717</v>
      </c>
      <c r="N88" s="21" t="s">
        <v>551</v>
      </c>
    </row>
    <row r="89" spans="1:18" hidden="1" x14ac:dyDescent="0.3">
      <c r="A89" s="1" t="s">
        <v>763</v>
      </c>
      <c r="B89" s="21" t="s">
        <v>103</v>
      </c>
      <c r="C89" s="21" t="s">
        <v>22</v>
      </c>
      <c r="D89" s="21" t="s">
        <v>191</v>
      </c>
      <c r="E89" s="21" t="s">
        <v>580</v>
      </c>
      <c r="F89" s="3">
        <v>353696749029201</v>
      </c>
      <c r="G89" s="21" t="s">
        <v>764</v>
      </c>
      <c r="H89" s="21" t="s">
        <v>706</v>
      </c>
      <c r="I89" s="21" t="s">
        <v>589</v>
      </c>
      <c r="J89" s="21" t="s">
        <v>617</v>
      </c>
      <c r="K89" s="21" t="s">
        <v>550</v>
      </c>
      <c r="L89" s="22">
        <v>45658</v>
      </c>
      <c r="M89" s="22">
        <v>45717</v>
      </c>
      <c r="N89" s="21" t="s">
        <v>551</v>
      </c>
    </row>
    <row r="90" spans="1:18" hidden="1" x14ac:dyDescent="0.3">
      <c r="A90" s="1" t="s">
        <v>765</v>
      </c>
      <c r="B90" s="129" t="s">
        <v>766</v>
      </c>
      <c r="C90" s="129" t="s">
        <v>577</v>
      </c>
      <c r="D90" s="129" t="s">
        <v>191</v>
      </c>
      <c r="E90" s="129" t="s">
        <v>767</v>
      </c>
      <c r="F90" s="130">
        <v>351001682973048</v>
      </c>
      <c r="G90" s="129" t="s">
        <v>768</v>
      </c>
      <c r="H90" s="129" t="s">
        <v>639</v>
      </c>
      <c r="I90" s="129" t="s">
        <v>589</v>
      </c>
      <c r="J90" s="129" t="s">
        <v>549</v>
      </c>
      <c r="K90" s="129" t="s">
        <v>550</v>
      </c>
      <c r="L90" s="131">
        <v>45658</v>
      </c>
      <c r="M90" s="131">
        <v>45717</v>
      </c>
      <c r="N90" s="129" t="s">
        <v>551</v>
      </c>
      <c r="O90" s="129"/>
      <c r="P90" s="133"/>
      <c r="Q90" s="129"/>
      <c r="R90" s="129"/>
    </row>
    <row r="91" spans="1:18" hidden="1" x14ac:dyDescent="0.3">
      <c r="A91" s="1" t="s">
        <v>769</v>
      </c>
      <c r="B91" s="129" t="s">
        <v>770</v>
      </c>
      <c r="C91" s="129" t="s">
        <v>577</v>
      </c>
      <c r="D91" s="129" t="s">
        <v>114</v>
      </c>
      <c r="E91" s="129" t="s">
        <v>696</v>
      </c>
      <c r="F91" s="130">
        <v>357883402125478</v>
      </c>
      <c r="G91" s="129" t="s">
        <v>768</v>
      </c>
      <c r="H91" s="129" t="s">
        <v>639</v>
      </c>
      <c r="I91" s="129" t="s">
        <v>589</v>
      </c>
      <c r="J91" s="129" t="s">
        <v>549</v>
      </c>
      <c r="K91" s="129" t="s">
        <v>550</v>
      </c>
      <c r="L91" s="131">
        <v>45658</v>
      </c>
      <c r="M91" s="131">
        <v>45717</v>
      </c>
      <c r="N91" s="129" t="s">
        <v>551</v>
      </c>
      <c r="O91" s="129" t="s">
        <v>1280</v>
      </c>
      <c r="P91" s="133">
        <v>0</v>
      </c>
      <c r="Q91" s="129" t="s">
        <v>1284</v>
      </c>
      <c r="R91" s="129"/>
    </row>
    <row r="92" spans="1:18" hidden="1" x14ac:dyDescent="0.3">
      <c r="A92" s="1" t="s">
        <v>771</v>
      </c>
      <c r="B92" s="21" t="s">
        <v>115</v>
      </c>
      <c r="C92" s="21" t="s">
        <v>22</v>
      </c>
      <c r="D92" s="21" t="s">
        <v>114</v>
      </c>
      <c r="E92" s="21" t="s">
        <v>696</v>
      </c>
      <c r="F92" s="3">
        <v>357883402696494</v>
      </c>
      <c r="G92" s="21" t="s">
        <v>772</v>
      </c>
      <c r="H92" s="21" t="s">
        <v>773</v>
      </c>
      <c r="I92" s="21" t="s">
        <v>589</v>
      </c>
      <c r="J92" s="21" t="s">
        <v>549</v>
      </c>
      <c r="K92" s="21" t="s">
        <v>550</v>
      </c>
      <c r="L92" s="22">
        <v>45658</v>
      </c>
      <c r="M92" s="22">
        <v>45717</v>
      </c>
      <c r="N92" s="21" t="s">
        <v>551</v>
      </c>
    </row>
    <row r="93" spans="1:18" hidden="1" x14ac:dyDescent="0.3">
      <c r="A93" s="1" t="s">
        <v>774</v>
      </c>
      <c r="B93" s="21" t="s">
        <v>199</v>
      </c>
      <c r="C93" s="21" t="s">
        <v>22</v>
      </c>
      <c r="D93" s="21" t="s">
        <v>191</v>
      </c>
      <c r="E93" s="21" t="s">
        <v>775</v>
      </c>
      <c r="F93" s="3">
        <v>350839224004728</v>
      </c>
      <c r="G93" s="21" t="s">
        <v>772</v>
      </c>
      <c r="H93" s="21" t="s">
        <v>773</v>
      </c>
      <c r="I93" s="21" t="s">
        <v>589</v>
      </c>
      <c r="J93" s="21" t="s">
        <v>549</v>
      </c>
      <c r="K93" s="21" t="s">
        <v>550</v>
      </c>
      <c r="L93" s="22">
        <v>45658</v>
      </c>
      <c r="M93" s="22">
        <v>45717</v>
      </c>
      <c r="N93" s="21" t="s">
        <v>551</v>
      </c>
    </row>
    <row r="94" spans="1:18" hidden="1" x14ac:dyDescent="0.3">
      <c r="A94" s="1" t="s">
        <v>776</v>
      </c>
      <c r="B94" s="21" t="s">
        <v>144</v>
      </c>
      <c r="C94" s="21" t="s">
        <v>22</v>
      </c>
      <c r="D94" s="21" t="s">
        <v>191</v>
      </c>
      <c r="E94" s="21" t="s">
        <v>606</v>
      </c>
      <c r="F94" s="3">
        <v>351829684067157</v>
      </c>
      <c r="G94" s="21" t="s">
        <v>777</v>
      </c>
      <c r="H94" s="21" t="s">
        <v>639</v>
      </c>
      <c r="I94" s="21" t="s">
        <v>589</v>
      </c>
      <c r="J94" s="21" t="s">
        <v>549</v>
      </c>
      <c r="K94" s="21" t="s">
        <v>550</v>
      </c>
      <c r="L94" s="22">
        <v>45658</v>
      </c>
      <c r="M94" s="22">
        <v>45717</v>
      </c>
      <c r="N94" s="21" t="s">
        <v>551</v>
      </c>
    </row>
    <row r="95" spans="1:18" hidden="1" x14ac:dyDescent="0.3">
      <c r="A95" s="1" t="s">
        <v>778</v>
      </c>
      <c r="B95" s="129" t="s">
        <v>779</v>
      </c>
      <c r="C95" s="129" t="s">
        <v>577</v>
      </c>
      <c r="D95" s="129" t="s">
        <v>585</v>
      </c>
      <c r="E95" s="129" t="s">
        <v>586</v>
      </c>
      <c r="F95" s="130">
        <v>355978840939803</v>
      </c>
      <c r="G95" s="129" t="s">
        <v>777</v>
      </c>
      <c r="H95" s="129" t="s">
        <v>639</v>
      </c>
      <c r="I95" s="129" t="s">
        <v>589</v>
      </c>
      <c r="J95" s="129" t="s">
        <v>549</v>
      </c>
      <c r="K95" s="129" t="s">
        <v>550</v>
      </c>
      <c r="L95" s="131">
        <v>45658</v>
      </c>
      <c r="M95" s="131">
        <v>45717</v>
      </c>
      <c r="N95" s="129" t="s">
        <v>551</v>
      </c>
      <c r="O95" s="129"/>
      <c r="P95" s="133">
        <v>9</v>
      </c>
      <c r="Q95" s="129" t="s">
        <v>1287</v>
      </c>
      <c r="R95" s="129"/>
    </row>
    <row r="96" spans="1:18" hidden="1" x14ac:dyDescent="0.3">
      <c r="A96" s="1" t="s">
        <v>780</v>
      </c>
      <c r="B96" s="21" t="s">
        <v>142</v>
      </c>
      <c r="C96" s="21" t="s">
        <v>22</v>
      </c>
      <c r="D96" s="21" t="s">
        <v>114</v>
      </c>
      <c r="E96" s="21" t="s">
        <v>649</v>
      </c>
      <c r="F96" s="3">
        <v>350698365094306</v>
      </c>
      <c r="G96" s="21" t="s">
        <v>781</v>
      </c>
      <c r="H96" s="21" t="s">
        <v>660</v>
      </c>
      <c r="I96" s="21" t="s">
        <v>589</v>
      </c>
      <c r="J96" s="21" t="s">
        <v>624</v>
      </c>
      <c r="K96" s="21" t="s">
        <v>550</v>
      </c>
      <c r="L96" s="22">
        <v>45658</v>
      </c>
      <c r="M96" s="22">
        <v>45717</v>
      </c>
      <c r="N96" s="21" t="s">
        <v>551</v>
      </c>
    </row>
    <row r="97" spans="1:19" hidden="1" x14ac:dyDescent="0.3">
      <c r="A97" s="1" t="s">
        <v>782</v>
      </c>
      <c r="B97" s="21" t="s">
        <v>65</v>
      </c>
      <c r="C97" s="21" t="s">
        <v>22</v>
      </c>
      <c r="D97" s="21" t="s">
        <v>191</v>
      </c>
      <c r="E97" s="21" t="s">
        <v>630</v>
      </c>
      <c r="F97" s="3">
        <v>359673359488781</v>
      </c>
      <c r="G97" s="21" t="s">
        <v>781</v>
      </c>
      <c r="H97" s="21" t="s">
        <v>660</v>
      </c>
      <c r="I97" s="21" t="s">
        <v>589</v>
      </c>
      <c r="J97" s="21" t="s">
        <v>624</v>
      </c>
      <c r="K97" s="21" t="s">
        <v>550</v>
      </c>
      <c r="L97" s="22">
        <v>45658</v>
      </c>
      <c r="M97" s="22">
        <v>45717</v>
      </c>
      <c r="N97" s="21" t="s">
        <v>551</v>
      </c>
    </row>
    <row r="98" spans="1:19" hidden="1" x14ac:dyDescent="0.3">
      <c r="A98" s="1" t="s">
        <v>783</v>
      </c>
      <c r="B98" s="21" t="s">
        <v>91</v>
      </c>
      <c r="C98" s="21" t="s">
        <v>22</v>
      </c>
      <c r="D98" s="21" t="s">
        <v>114</v>
      </c>
      <c r="E98" s="21" t="s">
        <v>649</v>
      </c>
      <c r="F98" s="3">
        <v>359552541123334</v>
      </c>
      <c r="G98" s="21" t="s">
        <v>784</v>
      </c>
      <c r="H98" s="21" t="s">
        <v>644</v>
      </c>
      <c r="I98" s="21" t="s">
        <v>589</v>
      </c>
      <c r="J98" s="21" t="s">
        <v>590</v>
      </c>
      <c r="K98" s="21" t="s">
        <v>550</v>
      </c>
      <c r="L98" s="22">
        <v>45658</v>
      </c>
      <c r="M98" s="22">
        <v>45717</v>
      </c>
      <c r="N98" s="21" t="s">
        <v>551</v>
      </c>
      <c r="O98" s="21" t="s">
        <v>785</v>
      </c>
    </row>
    <row r="99" spans="1:19" hidden="1" x14ac:dyDescent="0.3">
      <c r="A99" s="1" t="s">
        <v>786</v>
      </c>
      <c r="B99" s="129" t="s">
        <v>787</v>
      </c>
      <c r="C99" s="129" t="s">
        <v>577</v>
      </c>
      <c r="D99" s="129" t="s">
        <v>585</v>
      </c>
      <c r="E99" s="129" t="s">
        <v>586</v>
      </c>
      <c r="F99" s="130">
        <v>355978840923146</v>
      </c>
      <c r="G99" s="129" t="s">
        <v>788</v>
      </c>
      <c r="H99" s="129" t="s">
        <v>582</v>
      </c>
      <c r="I99" s="129" t="s">
        <v>589</v>
      </c>
      <c r="J99" s="129" t="s">
        <v>549</v>
      </c>
      <c r="K99" s="129" t="s">
        <v>550</v>
      </c>
      <c r="L99" s="131">
        <v>45658</v>
      </c>
      <c r="M99" s="131">
        <v>45717</v>
      </c>
      <c r="N99" s="129" t="s">
        <v>551</v>
      </c>
      <c r="O99" s="129" t="s">
        <v>1280</v>
      </c>
      <c r="P99" s="133">
        <v>0</v>
      </c>
      <c r="Q99" s="129" t="s">
        <v>1284</v>
      </c>
      <c r="R99" s="129"/>
    </row>
    <row r="100" spans="1:19" hidden="1" x14ac:dyDescent="0.3">
      <c r="A100" s="1" t="s">
        <v>789</v>
      </c>
      <c r="B100" s="21" t="s">
        <v>213</v>
      </c>
      <c r="C100" s="21" t="s">
        <v>22</v>
      </c>
      <c r="D100" s="21" t="s">
        <v>191</v>
      </c>
      <c r="E100" s="21" t="s">
        <v>606</v>
      </c>
      <c r="F100" s="3">
        <v>357084344468932</v>
      </c>
      <c r="G100" s="21" t="s">
        <v>790</v>
      </c>
      <c r="H100" s="21" t="s">
        <v>582</v>
      </c>
      <c r="I100" s="21" t="s">
        <v>589</v>
      </c>
      <c r="J100" s="21" t="s">
        <v>549</v>
      </c>
      <c r="K100" s="21" t="s">
        <v>550</v>
      </c>
      <c r="L100" s="22">
        <v>45658</v>
      </c>
      <c r="M100" s="22">
        <v>45717</v>
      </c>
      <c r="N100" s="21" t="s">
        <v>551</v>
      </c>
      <c r="P100" s="132" t="s">
        <v>566</v>
      </c>
    </row>
    <row r="101" spans="1:19" hidden="1" x14ac:dyDescent="0.3">
      <c r="A101" s="1" t="s">
        <v>791</v>
      </c>
      <c r="B101" s="21" t="s">
        <v>175</v>
      </c>
      <c r="C101" s="21" t="s">
        <v>22</v>
      </c>
      <c r="D101" s="21" t="s">
        <v>585</v>
      </c>
      <c r="E101" s="21" t="s">
        <v>586</v>
      </c>
      <c r="F101" s="3">
        <v>355978840889404</v>
      </c>
      <c r="G101" s="21" t="s">
        <v>792</v>
      </c>
      <c r="H101" s="21" t="s">
        <v>597</v>
      </c>
      <c r="I101" s="21" t="s">
        <v>589</v>
      </c>
      <c r="J101" s="21" t="s">
        <v>549</v>
      </c>
      <c r="K101" s="21" t="s">
        <v>550</v>
      </c>
      <c r="L101" s="22">
        <v>45658</v>
      </c>
      <c r="M101" s="22">
        <v>45717</v>
      </c>
      <c r="N101" s="21" t="s">
        <v>551</v>
      </c>
    </row>
    <row r="102" spans="1:19" hidden="1" x14ac:dyDescent="0.3">
      <c r="A102" s="1" t="s">
        <v>382</v>
      </c>
      <c r="B102" s="21" t="s">
        <v>185</v>
      </c>
      <c r="C102" s="21" t="s">
        <v>22</v>
      </c>
      <c r="D102" s="21" t="s">
        <v>585</v>
      </c>
      <c r="E102" s="21" t="s">
        <v>586</v>
      </c>
      <c r="F102" s="3">
        <v>355978840929473</v>
      </c>
      <c r="G102" s="21" t="s">
        <v>793</v>
      </c>
      <c r="H102" s="21" t="s">
        <v>597</v>
      </c>
      <c r="I102" s="21" t="s">
        <v>589</v>
      </c>
      <c r="J102" s="21" t="s">
        <v>549</v>
      </c>
      <c r="K102" s="21" t="s">
        <v>550</v>
      </c>
      <c r="L102" s="22">
        <v>45658</v>
      </c>
      <c r="M102" s="22">
        <v>45717</v>
      </c>
      <c r="N102" s="21" t="s">
        <v>551</v>
      </c>
    </row>
    <row r="103" spans="1:19" hidden="1" x14ac:dyDescent="0.3">
      <c r="A103" s="1" t="s">
        <v>794</v>
      </c>
      <c r="B103" s="69" t="s">
        <v>795</v>
      </c>
      <c r="C103" s="69" t="s">
        <v>577</v>
      </c>
      <c r="D103" s="69" t="s">
        <v>585</v>
      </c>
      <c r="E103" s="69" t="s">
        <v>586</v>
      </c>
      <c r="F103" s="138">
        <v>355978840939845</v>
      </c>
      <c r="G103" s="69" t="s">
        <v>796</v>
      </c>
      <c r="H103" s="69" t="s">
        <v>597</v>
      </c>
      <c r="I103" s="69" t="s">
        <v>589</v>
      </c>
      <c r="J103" s="69" t="s">
        <v>549</v>
      </c>
      <c r="K103" s="69" t="s">
        <v>550</v>
      </c>
      <c r="L103" s="139">
        <v>45658</v>
      </c>
      <c r="M103" s="139">
        <v>45717</v>
      </c>
      <c r="N103" s="69" t="s">
        <v>551</v>
      </c>
      <c r="O103" s="69" t="s">
        <v>797</v>
      </c>
      <c r="P103" s="140"/>
      <c r="Q103" s="69"/>
      <c r="R103" s="69"/>
    </row>
    <row r="104" spans="1:19" hidden="1" x14ac:dyDescent="0.3">
      <c r="A104" s="1" t="s">
        <v>383</v>
      </c>
      <c r="B104" s="129" t="s">
        <v>798</v>
      </c>
      <c r="C104" s="129" t="s">
        <v>577</v>
      </c>
      <c r="D104" s="129" t="s">
        <v>114</v>
      </c>
      <c r="E104" s="129" t="s">
        <v>799</v>
      </c>
      <c r="F104" s="130">
        <v>353205104482748</v>
      </c>
      <c r="G104" s="129" t="s">
        <v>731</v>
      </c>
      <c r="H104" s="129" t="s">
        <v>639</v>
      </c>
      <c r="I104" s="129" t="s">
        <v>600</v>
      </c>
      <c r="J104" s="129" t="s">
        <v>549</v>
      </c>
      <c r="K104" s="129" t="s">
        <v>550</v>
      </c>
      <c r="L104" s="131">
        <v>45658</v>
      </c>
      <c r="M104" s="131">
        <v>45717</v>
      </c>
      <c r="N104" s="129" t="s">
        <v>551</v>
      </c>
      <c r="O104" s="129"/>
      <c r="P104" s="133"/>
      <c r="Q104" s="129"/>
      <c r="R104" s="129"/>
    </row>
    <row r="105" spans="1:19" hidden="1" x14ac:dyDescent="0.3">
      <c r="A105" s="1" t="s">
        <v>800</v>
      </c>
      <c r="B105" s="21" t="s">
        <v>155</v>
      </c>
      <c r="C105" s="21" t="s">
        <v>22</v>
      </c>
      <c r="D105" s="21" t="s">
        <v>191</v>
      </c>
      <c r="E105" s="21" t="s">
        <v>801</v>
      </c>
      <c r="F105" s="3">
        <v>359735196551665</v>
      </c>
      <c r="G105" s="21" t="s">
        <v>802</v>
      </c>
      <c r="H105" s="21" t="s">
        <v>803</v>
      </c>
      <c r="I105" s="21" t="s">
        <v>548</v>
      </c>
      <c r="J105" s="21" t="s">
        <v>549</v>
      </c>
      <c r="K105" s="21" t="s">
        <v>550</v>
      </c>
      <c r="L105" s="22">
        <v>45658</v>
      </c>
      <c r="M105" s="22">
        <v>45717</v>
      </c>
      <c r="N105" s="21" t="s">
        <v>551</v>
      </c>
      <c r="O105" s="21" t="s">
        <v>804</v>
      </c>
    </row>
    <row r="106" spans="1:19" hidden="1" x14ac:dyDescent="0.3">
      <c r="A106" s="1" t="s">
        <v>384</v>
      </c>
      <c r="B106" s="21" t="s">
        <v>247</v>
      </c>
      <c r="C106" s="21" t="s">
        <v>22</v>
      </c>
      <c r="D106" s="21" t="s">
        <v>585</v>
      </c>
      <c r="E106" s="21" t="s">
        <v>586</v>
      </c>
      <c r="F106" s="3">
        <v>355978840934853</v>
      </c>
      <c r="G106" s="21" t="s">
        <v>805</v>
      </c>
      <c r="H106" s="21" t="s">
        <v>616</v>
      </c>
      <c r="I106" s="21" t="s">
        <v>589</v>
      </c>
      <c r="J106" s="21" t="s">
        <v>617</v>
      </c>
      <c r="K106" s="21" t="s">
        <v>550</v>
      </c>
      <c r="L106" s="22">
        <v>45658</v>
      </c>
      <c r="M106" s="22">
        <v>45717</v>
      </c>
      <c r="N106" s="21" t="s">
        <v>551</v>
      </c>
    </row>
    <row r="107" spans="1:19" hidden="1" x14ac:dyDescent="0.3">
      <c r="A107" s="1" t="s">
        <v>806</v>
      </c>
      <c r="B107" s="129" t="s">
        <v>807</v>
      </c>
      <c r="C107" s="129" t="s">
        <v>577</v>
      </c>
      <c r="D107" s="129" t="s">
        <v>585</v>
      </c>
      <c r="E107" s="129" t="s">
        <v>586</v>
      </c>
      <c r="F107" s="130">
        <v>355978840945222</v>
      </c>
      <c r="G107" s="129" t="s">
        <v>808</v>
      </c>
      <c r="H107" s="129" t="s">
        <v>616</v>
      </c>
      <c r="I107" s="129" t="s">
        <v>589</v>
      </c>
      <c r="J107" s="129" t="s">
        <v>617</v>
      </c>
      <c r="K107" s="129" t="s">
        <v>550</v>
      </c>
      <c r="L107" s="131">
        <v>45658</v>
      </c>
      <c r="M107" s="131">
        <v>45717</v>
      </c>
      <c r="N107" s="129" t="s">
        <v>551</v>
      </c>
      <c r="O107" s="129" t="s">
        <v>809</v>
      </c>
      <c r="P107" s="133">
        <v>0</v>
      </c>
      <c r="Q107" s="129" t="s">
        <v>1284</v>
      </c>
      <c r="R107" s="129"/>
    </row>
    <row r="108" spans="1:19" hidden="1" x14ac:dyDescent="0.3">
      <c r="A108" s="1" t="s">
        <v>385</v>
      </c>
      <c r="B108" s="69" t="s">
        <v>810</v>
      </c>
      <c r="C108" s="69" t="s">
        <v>577</v>
      </c>
      <c r="D108" s="69" t="s">
        <v>114</v>
      </c>
      <c r="E108" s="69" t="s">
        <v>696</v>
      </c>
      <c r="F108" s="138">
        <v>350698362550466</v>
      </c>
      <c r="G108" s="69" t="s">
        <v>631</v>
      </c>
      <c r="H108" s="69" t="s">
        <v>632</v>
      </c>
      <c r="I108" s="69" t="s">
        <v>589</v>
      </c>
      <c r="J108" s="69" t="s">
        <v>617</v>
      </c>
      <c r="K108" s="69" t="s">
        <v>550</v>
      </c>
      <c r="L108" s="139">
        <v>45658</v>
      </c>
      <c r="M108" s="139">
        <v>45717</v>
      </c>
      <c r="N108" s="69" t="s">
        <v>551</v>
      </c>
      <c r="O108" s="69" t="s">
        <v>811</v>
      </c>
      <c r="P108" s="140">
        <v>0</v>
      </c>
      <c r="Q108" s="69" t="s">
        <v>1284</v>
      </c>
      <c r="R108" s="69" t="s">
        <v>1281</v>
      </c>
    </row>
    <row r="109" spans="1:19" hidden="1" x14ac:dyDescent="0.3">
      <c r="A109" s="1" t="s">
        <v>812</v>
      </c>
      <c r="B109" s="21" t="s">
        <v>212</v>
      </c>
      <c r="C109" s="21" t="s">
        <v>577</v>
      </c>
      <c r="D109" s="21" t="s">
        <v>191</v>
      </c>
      <c r="E109" s="21" t="s">
        <v>813</v>
      </c>
      <c r="F109" s="3">
        <v>351139862265361</v>
      </c>
      <c r="G109" s="21" t="s">
        <v>668</v>
      </c>
      <c r="H109" s="21" t="s">
        <v>639</v>
      </c>
      <c r="I109" s="21" t="s">
        <v>589</v>
      </c>
      <c r="J109" s="21" t="s">
        <v>549</v>
      </c>
      <c r="K109" s="21" t="s">
        <v>550</v>
      </c>
      <c r="L109" s="22">
        <v>45658</v>
      </c>
      <c r="M109" s="22">
        <v>45717</v>
      </c>
      <c r="N109" s="21" t="s">
        <v>551</v>
      </c>
    </row>
    <row r="110" spans="1:19" hidden="1" x14ac:dyDescent="0.3">
      <c r="A110" s="1" t="s">
        <v>386</v>
      </c>
      <c r="B110" s="69" t="s">
        <v>814</v>
      </c>
      <c r="C110" s="69" t="s">
        <v>577</v>
      </c>
      <c r="D110" s="69" t="s">
        <v>114</v>
      </c>
      <c r="E110" s="69" t="s">
        <v>799</v>
      </c>
      <c r="F110" s="138">
        <v>353204105703897</v>
      </c>
      <c r="G110" s="69" t="s">
        <v>673</v>
      </c>
      <c r="H110" s="69" t="s">
        <v>644</v>
      </c>
      <c r="I110" s="69" t="s">
        <v>600</v>
      </c>
      <c r="J110" s="69" t="s">
        <v>590</v>
      </c>
      <c r="K110" s="69" t="s">
        <v>550</v>
      </c>
      <c r="L110" s="139">
        <v>45658</v>
      </c>
      <c r="M110" s="139">
        <v>45717</v>
      </c>
      <c r="N110" s="69" t="s">
        <v>551</v>
      </c>
      <c r="O110" s="69"/>
      <c r="P110" s="140"/>
      <c r="Q110" s="69" t="s">
        <v>1287</v>
      </c>
      <c r="R110" s="69"/>
      <c r="S110" s="21" t="s">
        <v>1290</v>
      </c>
    </row>
    <row r="111" spans="1:19" hidden="1" x14ac:dyDescent="0.3">
      <c r="A111" s="1" t="s">
        <v>816</v>
      </c>
      <c r="B111" s="21" t="s">
        <v>171</v>
      </c>
      <c r="C111" s="21" t="s">
        <v>22</v>
      </c>
      <c r="D111" s="21" t="s">
        <v>191</v>
      </c>
      <c r="E111" s="21" t="s">
        <v>606</v>
      </c>
      <c r="F111" s="3">
        <v>350980291515202</v>
      </c>
      <c r="G111" s="21" t="s">
        <v>817</v>
      </c>
      <c r="H111" s="21" t="s">
        <v>644</v>
      </c>
      <c r="I111" s="21" t="s">
        <v>589</v>
      </c>
      <c r="J111" s="21" t="s">
        <v>590</v>
      </c>
      <c r="K111" s="21" t="s">
        <v>550</v>
      </c>
      <c r="L111" s="22">
        <v>45658</v>
      </c>
      <c r="M111" s="22">
        <v>45717</v>
      </c>
      <c r="N111" s="21" t="s">
        <v>551</v>
      </c>
    </row>
    <row r="112" spans="1:19" hidden="1" x14ac:dyDescent="0.3">
      <c r="A112" s="1" t="s">
        <v>387</v>
      </c>
      <c r="B112" s="69" t="s">
        <v>818</v>
      </c>
      <c r="C112" s="69" t="s">
        <v>577</v>
      </c>
      <c r="D112" s="69" t="s">
        <v>114</v>
      </c>
      <c r="E112" s="69" t="s">
        <v>819</v>
      </c>
      <c r="F112" s="138">
        <v>359552541123334</v>
      </c>
      <c r="G112" s="69" t="s">
        <v>817</v>
      </c>
      <c r="H112" s="69" t="s">
        <v>644</v>
      </c>
      <c r="I112" s="69" t="s">
        <v>589</v>
      </c>
      <c r="J112" s="69" t="s">
        <v>590</v>
      </c>
      <c r="K112" s="69" t="s">
        <v>550</v>
      </c>
      <c r="L112" s="139">
        <v>45658</v>
      </c>
      <c r="M112" s="139">
        <v>45717</v>
      </c>
      <c r="N112" s="69" t="s">
        <v>551</v>
      </c>
      <c r="O112" s="69" t="s">
        <v>1280</v>
      </c>
      <c r="P112" s="140">
        <v>0</v>
      </c>
      <c r="Q112" s="69" t="s">
        <v>1287</v>
      </c>
      <c r="R112" s="69" t="s">
        <v>1291</v>
      </c>
      <c r="S112" s="69"/>
    </row>
    <row r="113" spans="1:18" hidden="1" x14ac:dyDescent="0.3">
      <c r="A113" s="1" t="s">
        <v>821</v>
      </c>
      <c r="B113" s="134" t="s">
        <v>151</v>
      </c>
      <c r="C113" s="134"/>
      <c r="D113" s="134"/>
      <c r="E113" s="134"/>
      <c r="F113" s="3">
        <v>355103314581953</v>
      </c>
      <c r="G113" s="21" t="s">
        <v>710</v>
      </c>
      <c r="H113" s="21" t="s">
        <v>639</v>
      </c>
      <c r="I113" s="21" t="s">
        <v>600</v>
      </c>
      <c r="J113" s="21" t="s">
        <v>549</v>
      </c>
      <c r="K113" s="21" t="s">
        <v>550</v>
      </c>
      <c r="L113" s="22">
        <v>45658</v>
      </c>
      <c r="M113" s="22">
        <v>45717</v>
      </c>
      <c r="N113" s="21" t="s">
        <v>551</v>
      </c>
      <c r="O113" s="21" t="s">
        <v>822</v>
      </c>
    </row>
    <row r="114" spans="1:18" hidden="1" x14ac:dyDescent="0.3">
      <c r="A114" s="1" t="s">
        <v>388</v>
      </c>
      <c r="B114" s="21" t="s">
        <v>235</v>
      </c>
      <c r="C114" s="21" t="s">
        <v>577</v>
      </c>
      <c r="D114" s="21" t="s">
        <v>191</v>
      </c>
      <c r="E114" s="21" t="s">
        <v>813</v>
      </c>
      <c r="F114" s="3">
        <v>350110421858518</v>
      </c>
      <c r="G114" s="21" t="s">
        <v>712</v>
      </c>
      <c r="H114" s="21" t="s">
        <v>639</v>
      </c>
      <c r="I114" s="21" t="s">
        <v>589</v>
      </c>
      <c r="J114" s="21" t="s">
        <v>549</v>
      </c>
      <c r="K114" s="21" t="s">
        <v>550</v>
      </c>
      <c r="L114" s="22">
        <v>45658</v>
      </c>
      <c r="M114" s="22">
        <v>45717</v>
      </c>
      <c r="N114" s="21" t="s">
        <v>551</v>
      </c>
    </row>
    <row r="115" spans="1:18" hidden="1" x14ac:dyDescent="0.3">
      <c r="A115" s="1" t="s">
        <v>823</v>
      </c>
      <c r="F115" s="3"/>
      <c r="G115" s="21" t="s">
        <v>824</v>
      </c>
      <c r="H115" s="21" t="s">
        <v>762</v>
      </c>
      <c r="I115" s="21" t="s">
        <v>589</v>
      </c>
      <c r="J115" s="21" t="s">
        <v>590</v>
      </c>
      <c r="K115" s="21" t="s">
        <v>550</v>
      </c>
      <c r="L115" s="22">
        <v>45658</v>
      </c>
      <c r="M115" s="22">
        <v>45717</v>
      </c>
      <c r="N115" s="21" t="s">
        <v>551</v>
      </c>
      <c r="O115" s="21" t="s">
        <v>825</v>
      </c>
    </row>
    <row r="116" spans="1:18" hidden="1" x14ac:dyDescent="0.3">
      <c r="A116" s="1" t="s">
        <v>389</v>
      </c>
      <c r="B116" s="21" t="s">
        <v>826</v>
      </c>
      <c r="C116" s="21" t="s">
        <v>577</v>
      </c>
      <c r="D116" s="21" t="s">
        <v>114</v>
      </c>
      <c r="E116" s="21" t="s">
        <v>578</v>
      </c>
      <c r="F116" s="3">
        <v>356751111122915</v>
      </c>
      <c r="G116" s="21" t="s">
        <v>729</v>
      </c>
      <c r="H116" s="21" t="s">
        <v>644</v>
      </c>
      <c r="I116" s="21" t="s">
        <v>589</v>
      </c>
      <c r="J116" s="21" t="s">
        <v>590</v>
      </c>
      <c r="K116" s="21" t="s">
        <v>1025</v>
      </c>
      <c r="L116" s="22">
        <v>45658</v>
      </c>
      <c r="M116" s="22">
        <v>45717</v>
      </c>
      <c r="N116" s="21" t="s">
        <v>551</v>
      </c>
      <c r="O116" s="21" t="s">
        <v>1044</v>
      </c>
    </row>
    <row r="117" spans="1:18" hidden="1" x14ac:dyDescent="0.3">
      <c r="A117" s="1" t="s">
        <v>828</v>
      </c>
      <c r="B117" s="69" t="s">
        <v>829</v>
      </c>
      <c r="C117" s="69" t="s">
        <v>577</v>
      </c>
      <c r="D117" s="69" t="s">
        <v>114</v>
      </c>
      <c r="E117" s="69" t="s">
        <v>830</v>
      </c>
      <c r="F117" s="138">
        <v>356750111840153</v>
      </c>
      <c r="G117" s="69" t="s">
        <v>738</v>
      </c>
      <c r="H117" s="69" t="s">
        <v>639</v>
      </c>
      <c r="I117" s="69" t="s">
        <v>589</v>
      </c>
      <c r="J117" s="69" t="s">
        <v>549</v>
      </c>
      <c r="K117" s="69" t="s">
        <v>550</v>
      </c>
      <c r="L117" s="139">
        <v>45658</v>
      </c>
      <c r="M117" s="139">
        <v>45717</v>
      </c>
      <c r="N117" s="69" t="s">
        <v>551</v>
      </c>
      <c r="O117" s="69" t="s">
        <v>827</v>
      </c>
      <c r="P117" s="140"/>
      <c r="Q117" s="69"/>
      <c r="R117" s="21" t="s">
        <v>1292</v>
      </c>
    </row>
    <row r="118" spans="1:18" hidden="1" x14ac:dyDescent="0.3">
      <c r="A118" s="1" t="s">
        <v>393</v>
      </c>
      <c r="B118" s="21" t="s">
        <v>208</v>
      </c>
      <c r="C118" s="21" t="s">
        <v>22</v>
      </c>
      <c r="D118" s="21" t="s">
        <v>191</v>
      </c>
      <c r="E118" s="21" t="s">
        <v>630</v>
      </c>
      <c r="F118" s="3">
        <v>358091652874097</v>
      </c>
      <c r="G118" s="21" t="s">
        <v>759</v>
      </c>
      <c r="H118" s="21" t="s">
        <v>632</v>
      </c>
      <c r="I118" s="21" t="s">
        <v>589</v>
      </c>
      <c r="J118" s="21" t="s">
        <v>617</v>
      </c>
      <c r="K118" s="21" t="s">
        <v>550</v>
      </c>
      <c r="L118" s="22">
        <v>45658</v>
      </c>
      <c r="M118" s="22">
        <v>45717</v>
      </c>
      <c r="N118" s="21" t="s">
        <v>551</v>
      </c>
    </row>
    <row r="119" spans="1:18" hidden="1" x14ac:dyDescent="0.3">
      <c r="A119" s="1" t="s">
        <v>831</v>
      </c>
      <c r="B119" s="21" t="s">
        <v>93</v>
      </c>
      <c r="C119" s="21" t="s">
        <v>22</v>
      </c>
      <c r="D119" s="21" t="s">
        <v>191</v>
      </c>
      <c r="E119" s="21" t="s">
        <v>813</v>
      </c>
      <c r="F119" s="3">
        <v>3501104219697</v>
      </c>
      <c r="G119" s="21" t="s">
        <v>784</v>
      </c>
      <c r="H119" s="21" t="s">
        <v>644</v>
      </c>
      <c r="I119" s="21" t="s">
        <v>589</v>
      </c>
      <c r="J119" s="21" t="s">
        <v>590</v>
      </c>
      <c r="K119" s="21" t="s">
        <v>550</v>
      </c>
      <c r="L119" s="22">
        <v>45658</v>
      </c>
      <c r="M119" s="22">
        <v>45717</v>
      </c>
      <c r="N119" s="21" t="s">
        <v>551</v>
      </c>
    </row>
    <row r="120" spans="1:18" hidden="1" x14ac:dyDescent="0.3">
      <c r="A120" s="1" t="s">
        <v>397</v>
      </c>
      <c r="B120" s="127" t="s">
        <v>454</v>
      </c>
      <c r="C120" s="21" t="s">
        <v>577</v>
      </c>
      <c r="D120" s="21" t="s">
        <v>585</v>
      </c>
      <c r="E120" s="21" t="s">
        <v>586</v>
      </c>
      <c r="F120" s="3">
        <v>355978840949711</v>
      </c>
      <c r="G120" s="21" t="s">
        <v>832</v>
      </c>
      <c r="H120" s="21" t="s">
        <v>773</v>
      </c>
      <c r="I120" s="21" t="s">
        <v>589</v>
      </c>
      <c r="J120" s="21" t="s">
        <v>549</v>
      </c>
      <c r="K120" s="21" t="s">
        <v>550</v>
      </c>
      <c r="L120" s="22">
        <v>45658</v>
      </c>
      <c r="M120" s="22">
        <v>45717</v>
      </c>
      <c r="N120" s="21" t="s">
        <v>551</v>
      </c>
      <c r="O120" s="21" t="s">
        <v>833</v>
      </c>
    </row>
    <row r="121" spans="1:18" hidden="1" x14ac:dyDescent="0.3">
      <c r="A121" s="1" t="s">
        <v>834</v>
      </c>
      <c r="B121" s="21" t="s">
        <v>146</v>
      </c>
      <c r="C121" s="21" t="s">
        <v>577</v>
      </c>
      <c r="D121" s="21" t="s">
        <v>191</v>
      </c>
      <c r="E121" s="21" t="s">
        <v>630</v>
      </c>
      <c r="F121" s="3">
        <v>358091652358661</v>
      </c>
      <c r="G121" s="21" t="s">
        <v>832</v>
      </c>
      <c r="H121" s="21" t="s">
        <v>773</v>
      </c>
      <c r="I121" s="21" t="s">
        <v>589</v>
      </c>
      <c r="J121" s="21" t="s">
        <v>549</v>
      </c>
      <c r="K121" s="21" t="s">
        <v>550</v>
      </c>
      <c r="L121" s="22">
        <v>45658</v>
      </c>
      <c r="M121" s="22">
        <v>45717</v>
      </c>
      <c r="N121" s="21" t="s">
        <v>551</v>
      </c>
      <c r="O121" s="21" t="s">
        <v>833</v>
      </c>
    </row>
    <row r="122" spans="1:18" hidden="1" x14ac:dyDescent="0.3">
      <c r="A122" s="1" t="s">
        <v>398</v>
      </c>
      <c r="B122" s="21" t="s">
        <v>200</v>
      </c>
      <c r="C122" s="21" t="s">
        <v>22</v>
      </c>
      <c r="D122" s="21" t="s">
        <v>592</v>
      </c>
      <c r="E122" s="21" t="s">
        <v>611</v>
      </c>
      <c r="F122" s="3">
        <v>351082120960722</v>
      </c>
      <c r="G122" s="21" t="s">
        <v>835</v>
      </c>
      <c r="H122" s="21" t="s">
        <v>836</v>
      </c>
      <c r="I122" s="21" t="s">
        <v>589</v>
      </c>
      <c r="J122" s="21" t="s">
        <v>549</v>
      </c>
      <c r="K122" s="21" t="s">
        <v>550</v>
      </c>
      <c r="L122" s="22">
        <v>45658</v>
      </c>
      <c r="M122" s="22">
        <v>45717</v>
      </c>
      <c r="N122" s="21" t="s">
        <v>551</v>
      </c>
      <c r="P122" s="132" t="s">
        <v>566</v>
      </c>
    </row>
    <row r="123" spans="1:18" hidden="1" x14ac:dyDescent="0.3">
      <c r="A123" s="1" t="s">
        <v>837</v>
      </c>
      <c r="B123" s="21" t="s">
        <v>215</v>
      </c>
      <c r="C123" s="21" t="s">
        <v>22</v>
      </c>
      <c r="D123" s="21" t="s">
        <v>191</v>
      </c>
      <c r="E123" s="21" t="s">
        <v>572</v>
      </c>
      <c r="F123" s="3">
        <v>352865675892301</v>
      </c>
      <c r="G123" s="21" t="s">
        <v>838</v>
      </c>
      <c r="H123" s="21" t="s">
        <v>839</v>
      </c>
      <c r="I123" s="21" t="s">
        <v>600</v>
      </c>
      <c r="J123" s="21" t="s">
        <v>549</v>
      </c>
      <c r="K123" s="21" t="s">
        <v>550</v>
      </c>
      <c r="L123" s="22">
        <v>45658</v>
      </c>
      <c r="M123" s="22">
        <v>45717</v>
      </c>
      <c r="N123" s="21" t="s">
        <v>551</v>
      </c>
      <c r="P123" s="132" t="s">
        <v>566</v>
      </c>
    </row>
    <row r="124" spans="1:18" hidden="1" x14ac:dyDescent="0.3">
      <c r="A124" s="1" t="s">
        <v>402</v>
      </c>
      <c r="B124" s="69" t="s">
        <v>243</v>
      </c>
      <c r="C124" s="69" t="s">
        <v>577</v>
      </c>
      <c r="D124" s="69" t="s">
        <v>585</v>
      </c>
      <c r="E124" s="69" t="s">
        <v>586</v>
      </c>
      <c r="F124" s="138">
        <v>355978840924771</v>
      </c>
      <c r="G124" s="69" t="s">
        <v>840</v>
      </c>
      <c r="H124" s="69" t="s">
        <v>597</v>
      </c>
      <c r="I124" s="69" t="s">
        <v>589</v>
      </c>
      <c r="J124" s="69" t="s">
        <v>549</v>
      </c>
      <c r="K124" s="69" t="s">
        <v>550</v>
      </c>
      <c r="L124" s="139">
        <v>45658</v>
      </c>
      <c r="M124" s="139">
        <v>45717</v>
      </c>
      <c r="N124" s="69" t="s">
        <v>551</v>
      </c>
      <c r="O124" s="69"/>
      <c r="P124" s="140">
        <v>0</v>
      </c>
      <c r="Q124" s="69" t="s">
        <v>1287</v>
      </c>
      <c r="R124" s="69"/>
    </row>
    <row r="125" spans="1:18" hidden="1" x14ac:dyDescent="0.3">
      <c r="A125" s="1" t="s">
        <v>841</v>
      </c>
      <c r="B125" s="21" t="s">
        <v>221</v>
      </c>
      <c r="C125" s="21" t="s">
        <v>22</v>
      </c>
      <c r="F125" s="3"/>
      <c r="G125" s="21" t="s">
        <v>842</v>
      </c>
      <c r="H125" s="21" t="s">
        <v>843</v>
      </c>
      <c r="I125" s="21" t="s">
        <v>589</v>
      </c>
      <c r="J125" s="21" t="s">
        <v>590</v>
      </c>
      <c r="K125" s="21" t="s">
        <v>550</v>
      </c>
      <c r="L125" s="22">
        <v>45658</v>
      </c>
      <c r="M125" s="22">
        <v>45717</v>
      </c>
      <c r="N125" s="21" t="s">
        <v>551</v>
      </c>
    </row>
    <row r="126" spans="1:18" hidden="1" x14ac:dyDescent="0.3">
      <c r="A126" s="1">
        <v>245</v>
      </c>
      <c r="B126" s="21" t="s">
        <v>471</v>
      </c>
      <c r="C126" s="21" t="s">
        <v>22</v>
      </c>
      <c r="D126" s="21" t="s">
        <v>114</v>
      </c>
      <c r="E126" s="21" t="s">
        <v>844</v>
      </c>
      <c r="F126" s="3">
        <v>356029485261308</v>
      </c>
      <c r="G126" s="21" t="s">
        <v>842</v>
      </c>
      <c r="H126" s="21" t="s">
        <v>843</v>
      </c>
      <c r="I126" s="21" t="s">
        <v>589</v>
      </c>
      <c r="J126" s="21" t="s">
        <v>590</v>
      </c>
      <c r="K126" s="21" t="s">
        <v>550</v>
      </c>
      <c r="L126" s="22">
        <v>45723</v>
      </c>
      <c r="M126" s="22">
        <v>45723</v>
      </c>
      <c r="N126" s="21" t="s">
        <v>551</v>
      </c>
    </row>
    <row r="127" spans="1:18" hidden="1" x14ac:dyDescent="0.3">
      <c r="A127" s="1" t="s">
        <v>845</v>
      </c>
      <c r="B127" s="21" t="s">
        <v>464</v>
      </c>
      <c r="C127" s="21" t="s">
        <v>22</v>
      </c>
      <c r="D127" s="21" t="s">
        <v>114</v>
      </c>
      <c r="E127" s="21" t="s">
        <v>844</v>
      </c>
      <c r="F127" s="3">
        <v>356029485569361</v>
      </c>
      <c r="H127" s="21" t="s">
        <v>846</v>
      </c>
      <c r="I127" s="21" t="s">
        <v>589</v>
      </c>
      <c r="J127" s="21" t="s">
        <v>624</v>
      </c>
      <c r="K127" s="21" t="s">
        <v>550</v>
      </c>
      <c r="L127" s="22">
        <v>45658</v>
      </c>
      <c r="M127" s="22">
        <v>45717</v>
      </c>
      <c r="N127" s="21" t="s">
        <v>551</v>
      </c>
    </row>
    <row r="128" spans="1:18" hidden="1" x14ac:dyDescent="0.3">
      <c r="A128" s="1" t="s">
        <v>405</v>
      </c>
      <c r="B128" s="135" t="s">
        <v>491</v>
      </c>
      <c r="C128" s="21" t="s">
        <v>22</v>
      </c>
      <c r="F128" s="3"/>
      <c r="H128" s="21" t="s">
        <v>846</v>
      </c>
      <c r="I128" s="21" t="s">
        <v>589</v>
      </c>
      <c r="J128" s="21" t="s">
        <v>624</v>
      </c>
      <c r="K128" s="21" t="s">
        <v>550</v>
      </c>
      <c r="L128" s="22">
        <v>45658</v>
      </c>
      <c r="M128" s="22">
        <v>45717</v>
      </c>
      <c r="N128" s="21" t="s">
        <v>551</v>
      </c>
    </row>
    <row r="129" spans="1:16" hidden="1" x14ac:dyDescent="0.3">
      <c r="A129" s="1" t="s">
        <v>847</v>
      </c>
      <c r="B129" s="21" t="s">
        <v>109</v>
      </c>
      <c r="C129" s="21" t="s">
        <v>22</v>
      </c>
      <c r="D129" s="21" t="s">
        <v>592</v>
      </c>
      <c r="E129" s="21" t="s">
        <v>848</v>
      </c>
      <c r="F129" s="3">
        <v>351082120669125</v>
      </c>
      <c r="G129" s="21" t="s">
        <v>849</v>
      </c>
      <c r="H129" s="21" t="s">
        <v>623</v>
      </c>
      <c r="I129" s="21" t="s">
        <v>589</v>
      </c>
      <c r="J129" s="21" t="s">
        <v>624</v>
      </c>
      <c r="K129" s="21" t="s">
        <v>550</v>
      </c>
      <c r="L129" s="22">
        <v>45762</v>
      </c>
      <c r="M129" s="22">
        <v>45762</v>
      </c>
      <c r="N129" s="21" t="s">
        <v>551</v>
      </c>
    </row>
    <row r="130" spans="1:16" hidden="1" x14ac:dyDescent="0.3">
      <c r="A130" s="1" t="s">
        <v>406</v>
      </c>
      <c r="B130" s="21" t="s">
        <v>241</v>
      </c>
      <c r="C130" s="21" t="s">
        <v>22</v>
      </c>
      <c r="D130" s="21" t="s">
        <v>592</v>
      </c>
      <c r="E130" s="21" t="s">
        <v>848</v>
      </c>
      <c r="F130" s="3">
        <v>351082125564644</v>
      </c>
      <c r="G130" s="21" t="s">
        <v>850</v>
      </c>
      <c r="H130" s="21" t="s">
        <v>623</v>
      </c>
      <c r="I130" s="21" t="s">
        <v>589</v>
      </c>
      <c r="J130" s="21" t="s">
        <v>624</v>
      </c>
      <c r="K130" s="21" t="s">
        <v>550</v>
      </c>
      <c r="L130" s="22">
        <v>45658</v>
      </c>
      <c r="M130" s="22">
        <v>45717</v>
      </c>
      <c r="N130" s="21" t="s">
        <v>551</v>
      </c>
    </row>
    <row r="131" spans="1:16" hidden="1" x14ac:dyDescent="0.3">
      <c r="A131" s="1" t="s">
        <v>851</v>
      </c>
      <c r="B131" s="21" t="s">
        <v>167</v>
      </c>
      <c r="C131" s="21" t="s">
        <v>22</v>
      </c>
      <c r="D131" s="21" t="s">
        <v>585</v>
      </c>
      <c r="E131" s="21" t="s">
        <v>586</v>
      </c>
      <c r="F131" s="3">
        <v>355978840888703</v>
      </c>
      <c r="G131" s="21" t="s">
        <v>852</v>
      </c>
      <c r="H131" s="21" t="s">
        <v>597</v>
      </c>
      <c r="I131" s="21" t="s">
        <v>589</v>
      </c>
      <c r="J131" s="21" t="s">
        <v>549</v>
      </c>
      <c r="K131" s="21" t="s">
        <v>550</v>
      </c>
      <c r="L131" s="22">
        <v>45658</v>
      </c>
      <c r="M131" s="22">
        <v>45717</v>
      </c>
      <c r="N131" s="21" t="s">
        <v>551</v>
      </c>
    </row>
    <row r="132" spans="1:16" hidden="1" x14ac:dyDescent="0.3">
      <c r="A132" s="1" t="s">
        <v>407</v>
      </c>
      <c r="B132" s="21" t="s">
        <v>192</v>
      </c>
      <c r="C132" s="21" t="s">
        <v>22</v>
      </c>
      <c r="D132" s="128" t="s">
        <v>585</v>
      </c>
      <c r="E132" s="128" t="s">
        <v>586</v>
      </c>
      <c r="F132" s="3">
        <v>355978840899098</v>
      </c>
      <c r="G132" s="21" t="s">
        <v>853</v>
      </c>
      <c r="H132" s="21" t="s">
        <v>597</v>
      </c>
      <c r="I132" s="21" t="s">
        <v>589</v>
      </c>
      <c r="J132" s="21" t="s">
        <v>549</v>
      </c>
      <c r="K132" s="21" t="s">
        <v>550</v>
      </c>
      <c r="L132" s="22">
        <v>45658</v>
      </c>
      <c r="M132" s="22">
        <v>45717</v>
      </c>
      <c r="N132" s="21" t="s">
        <v>551</v>
      </c>
    </row>
    <row r="133" spans="1:16" hidden="1" x14ac:dyDescent="0.3">
      <c r="A133" s="1" t="s">
        <v>854</v>
      </c>
      <c r="B133" s="21" t="s">
        <v>195</v>
      </c>
      <c r="C133" s="21" t="s">
        <v>22</v>
      </c>
      <c r="D133" s="128" t="s">
        <v>585</v>
      </c>
      <c r="E133" s="128" t="s">
        <v>586</v>
      </c>
      <c r="F133" s="3">
        <v>355978840945693</v>
      </c>
      <c r="G133" s="21" t="s">
        <v>612</v>
      </c>
      <c r="H133" s="21" t="s">
        <v>588</v>
      </c>
      <c r="I133" s="21" t="s">
        <v>589</v>
      </c>
      <c r="J133" s="21" t="s">
        <v>590</v>
      </c>
      <c r="K133" s="21" t="s">
        <v>550</v>
      </c>
      <c r="L133" s="22">
        <v>45658</v>
      </c>
      <c r="M133" s="22">
        <v>45717</v>
      </c>
      <c r="N133" s="21" t="s">
        <v>551</v>
      </c>
    </row>
    <row r="134" spans="1:16" hidden="1" x14ac:dyDescent="0.3">
      <c r="A134" s="1" t="s">
        <v>408</v>
      </c>
      <c r="B134" s="129" t="s">
        <v>855</v>
      </c>
      <c r="C134" s="129" t="s">
        <v>577</v>
      </c>
      <c r="D134" s="150" t="s">
        <v>191</v>
      </c>
      <c r="E134" s="150" t="s">
        <v>630</v>
      </c>
      <c r="F134" s="130">
        <v>358091652066132</v>
      </c>
      <c r="G134" s="129" t="s">
        <v>856</v>
      </c>
      <c r="H134" s="129" t="s">
        <v>632</v>
      </c>
      <c r="I134" s="129" t="s">
        <v>589</v>
      </c>
      <c r="J134" s="129" t="s">
        <v>617</v>
      </c>
      <c r="K134" s="129" t="s">
        <v>550</v>
      </c>
      <c r="L134" s="131">
        <v>45658</v>
      </c>
      <c r="M134" s="131">
        <v>45717</v>
      </c>
      <c r="N134" s="129" t="s">
        <v>551</v>
      </c>
      <c r="O134" s="129"/>
      <c r="P134" s="133"/>
    </row>
    <row r="135" spans="1:16" hidden="1" x14ac:dyDescent="0.3">
      <c r="A135" s="1" t="s">
        <v>857</v>
      </c>
      <c r="B135" s="21" t="s">
        <v>449</v>
      </c>
      <c r="C135" s="21" t="s">
        <v>22</v>
      </c>
      <c r="D135" s="128" t="s">
        <v>114</v>
      </c>
      <c r="F135" s="3">
        <v>356751113340572</v>
      </c>
      <c r="G135" s="21" t="s">
        <v>856</v>
      </c>
      <c r="H135" s="21" t="s">
        <v>632</v>
      </c>
      <c r="I135" s="21" t="s">
        <v>589</v>
      </c>
      <c r="J135" s="21" t="s">
        <v>617</v>
      </c>
      <c r="K135" s="21" t="s">
        <v>550</v>
      </c>
      <c r="L135" s="22">
        <v>45658</v>
      </c>
      <c r="M135" s="22">
        <v>45717</v>
      </c>
      <c r="N135" s="21" t="s">
        <v>551</v>
      </c>
    </row>
    <row r="136" spans="1:16" hidden="1" x14ac:dyDescent="0.3">
      <c r="A136" s="1" t="s">
        <v>411</v>
      </c>
      <c r="F136" s="3"/>
      <c r="L136" s="22"/>
      <c r="M136" s="22"/>
    </row>
    <row r="137" spans="1:16" hidden="1" x14ac:dyDescent="0.3">
      <c r="A137" s="1" t="s">
        <v>858</v>
      </c>
      <c r="B137" s="21" t="s">
        <v>202</v>
      </c>
      <c r="C137" s="21" t="s">
        <v>577</v>
      </c>
      <c r="D137" s="21" t="s">
        <v>191</v>
      </c>
      <c r="E137" s="21" t="s">
        <v>859</v>
      </c>
      <c r="F137" s="3">
        <v>358091652491496</v>
      </c>
      <c r="G137" s="21" t="s">
        <v>860</v>
      </c>
      <c r="H137" s="21" t="s">
        <v>644</v>
      </c>
      <c r="I137" s="21" t="s">
        <v>589</v>
      </c>
      <c r="J137" s="21" t="s">
        <v>549</v>
      </c>
      <c r="K137" s="21" t="s">
        <v>550</v>
      </c>
      <c r="L137" s="22">
        <v>45717</v>
      </c>
      <c r="M137" s="22">
        <v>45717</v>
      </c>
      <c r="N137" s="21" t="s">
        <v>551</v>
      </c>
    </row>
    <row r="138" spans="1:16" hidden="1" x14ac:dyDescent="0.3">
      <c r="A138" s="1" t="s">
        <v>416</v>
      </c>
      <c r="B138" s="21" t="s">
        <v>163</v>
      </c>
      <c r="C138" s="21" t="s">
        <v>22</v>
      </c>
      <c r="D138" s="21" t="s">
        <v>114</v>
      </c>
      <c r="E138" s="21" t="s">
        <v>861</v>
      </c>
      <c r="F138" s="3">
        <v>355939974972648</v>
      </c>
      <c r="G138" s="21" t="s">
        <v>860</v>
      </c>
      <c r="H138" s="21" t="s">
        <v>644</v>
      </c>
      <c r="I138" s="21" t="s">
        <v>589</v>
      </c>
      <c r="J138" s="21" t="s">
        <v>549</v>
      </c>
      <c r="K138" s="21" t="s">
        <v>550</v>
      </c>
      <c r="L138" s="22">
        <v>45717</v>
      </c>
      <c r="M138" s="22">
        <v>45717</v>
      </c>
      <c r="N138" s="21" t="s">
        <v>551</v>
      </c>
    </row>
    <row r="139" spans="1:16" hidden="1" x14ac:dyDescent="0.3">
      <c r="A139" s="1" t="s">
        <v>862</v>
      </c>
      <c r="C139" s="21" t="s">
        <v>22</v>
      </c>
      <c r="D139" s="21" t="s">
        <v>191</v>
      </c>
      <c r="E139" s="21" t="s">
        <v>863</v>
      </c>
      <c r="F139" s="3">
        <v>358091652600849</v>
      </c>
      <c r="G139" s="21" t="s">
        <v>864</v>
      </c>
      <c r="H139" s="21" t="s">
        <v>639</v>
      </c>
      <c r="I139" s="21" t="s">
        <v>589</v>
      </c>
      <c r="J139" s="21" t="s">
        <v>549</v>
      </c>
      <c r="K139" s="21" t="s">
        <v>550</v>
      </c>
      <c r="L139" s="22">
        <v>45729</v>
      </c>
      <c r="M139" s="22">
        <v>45717</v>
      </c>
      <c r="N139" s="21" t="s">
        <v>551</v>
      </c>
    </row>
    <row r="140" spans="1:16" hidden="1" x14ac:dyDescent="0.3">
      <c r="A140" s="1" t="s">
        <v>419</v>
      </c>
      <c r="B140" s="21" t="s">
        <v>417</v>
      </c>
      <c r="C140" s="21" t="s">
        <v>22</v>
      </c>
      <c r="D140" s="21" t="s">
        <v>114</v>
      </c>
      <c r="E140" s="21" t="s">
        <v>865</v>
      </c>
      <c r="F140" s="3">
        <v>356747112424995</v>
      </c>
      <c r="G140" s="21" t="s">
        <v>864</v>
      </c>
      <c r="H140" s="21" t="s">
        <v>639</v>
      </c>
      <c r="I140" s="21" t="s">
        <v>589</v>
      </c>
      <c r="J140" s="21" t="s">
        <v>549</v>
      </c>
      <c r="K140" s="21" t="s">
        <v>550</v>
      </c>
      <c r="L140" s="22">
        <v>45729</v>
      </c>
      <c r="M140" s="22">
        <v>45717</v>
      </c>
      <c r="N140" s="21" t="s">
        <v>551</v>
      </c>
    </row>
    <row r="141" spans="1:16" hidden="1" x14ac:dyDescent="0.3">
      <c r="A141" s="1" t="s">
        <v>866</v>
      </c>
      <c r="B141" s="21" t="s">
        <v>28</v>
      </c>
      <c r="C141" s="21" t="s">
        <v>22</v>
      </c>
      <c r="D141" s="21" t="s">
        <v>270</v>
      </c>
      <c r="E141" s="21" t="s">
        <v>270</v>
      </c>
      <c r="F141" s="3" t="s">
        <v>270</v>
      </c>
      <c r="G141" s="21" t="s">
        <v>29</v>
      </c>
      <c r="H141" s="21" t="s">
        <v>867</v>
      </c>
      <c r="I141" s="21" t="s">
        <v>867</v>
      </c>
      <c r="J141" s="21" t="s">
        <v>867</v>
      </c>
      <c r="K141" s="21" t="s">
        <v>550</v>
      </c>
      <c r="L141" s="22">
        <v>45658</v>
      </c>
      <c r="M141" s="22">
        <v>45717</v>
      </c>
      <c r="N141" s="21" t="s">
        <v>551</v>
      </c>
    </row>
    <row r="142" spans="1:16" hidden="1" x14ac:dyDescent="0.3">
      <c r="A142" s="1" t="s">
        <v>423</v>
      </c>
      <c r="B142" s="21" t="s">
        <v>31</v>
      </c>
      <c r="C142" s="21" t="s">
        <v>22</v>
      </c>
      <c r="D142" s="21" t="s">
        <v>270</v>
      </c>
      <c r="E142" s="21" t="s">
        <v>270</v>
      </c>
      <c r="F142" s="3" t="s">
        <v>270</v>
      </c>
      <c r="G142" s="21" t="s">
        <v>29</v>
      </c>
      <c r="H142" s="21" t="s">
        <v>867</v>
      </c>
      <c r="I142" s="21" t="s">
        <v>867</v>
      </c>
      <c r="J142" s="21" t="s">
        <v>867</v>
      </c>
      <c r="K142" s="21" t="s">
        <v>550</v>
      </c>
      <c r="L142" s="22">
        <v>45658</v>
      </c>
      <c r="M142" s="22">
        <v>45717</v>
      </c>
      <c r="N142" s="21" t="s">
        <v>551</v>
      </c>
    </row>
    <row r="143" spans="1:16" hidden="1" x14ac:dyDescent="0.3">
      <c r="A143" s="1" t="s">
        <v>868</v>
      </c>
      <c r="B143" s="21" t="s">
        <v>32</v>
      </c>
      <c r="C143" s="21" t="s">
        <v>22</v>
      </c>
      <c r="D143" s="21" t="s">
        <v>270</v>
      </c>
      <c r="E143" s="21" t="s">
        <v>270</v>
      </c>
      <c r="F143" s="3" t="s">
        <v>270</v>
      </c>
      <c r="G143" s="21" t="s">
        <v>29</v>
      </c>
      <c r="H143" s="21" t="s">
        <v>867</v>
      </c>
      <c r="I143" s="21" t="s">
        <v>867</v>
      </c>
      <c r="J143" s="21" t="s">
        <v>867</v>
      </c>
      <c r="K143" s="21" t="s">
        <v>550</v>
      </c>
      <c r="L143" s="22">
        <v>45658</v>
      </c>
      <c r="M143" s="22">
        <v>45717</v>
      </c>
      <c r="N143" s="21" t="s">
        <v>551</v>
      </c>
    </row>
    <row r="144" spans="1:16" hidden="1" x14ac:dyDescent="0.3">
      <c r="A144" s="1" t="s">
        <v>425</v>
      </c>
      <c r="B144" s="21" t="s">
        <v>85</v>
      </c>
      <c r="C144" s="21" t="s">
        <v>22</v>
      </c>
      <c r="D144" s="21" t="s">
        <v>270</v>
      </c>
      <c r="E144" s="21" t="s">
        <v>270</v>
      </c>
      <c r="F144" s="3" t="s">
        <v>270</v>
      </c>
      <c r="G144" s="21" t="s">
        <v>86</v>
      </c>
      <c r="H144" s="21" t="s">
        <v>867</v>
      </c>
      <c r="I144" s="21" t="s">
        <v>867</v>
      </c>
      <c r="J144" s="21" t="s">
        <v>867</v>
      </c>
      <c r="K144" s="21" t="s">
        <v>550</v>
      </c>
      <c r="L144" s="22">
        <v>45658</v>
      </c>
      <c r="M144" s="22">
        <v>45717</v>
      </c>
      <c r="N144" s="21" t="s">
        <v>551</v>
      </c>
    </row>
    <row r="145" spans="1:14" hidden="1" x14ac:dyDescent="0.3">
      <c r="A145" s="1" t="s">
        <v>869</v>
      </c>
      <c r="B145" s="21" t="s">
        <v>87</v>
      </c>
      <c r="C145" s="21" t="s">
        <v>22</v>
      </c>
      <c r="D145" s="21" t="s">
        <v>270</v>
      </c>
      <c r="E145" s="21" t="s">
        <v>270</v>
      </c>
      <c r="F145" s="3" t="s">
        <v>270</v>
      </c>
      <c r="G145" s="21" t="s">
        <v>88</v>
      </c>
      <c r="H145" s="21" t="s">
        <v>867</v>
      </c>
      <c r="I145" s="21" t="s">
        <v>867</v>
      </c>
      <c r="J145" s="21" t="s">
        <v>867</v>
      </c>
      <c r="K145" s="21" t="s">
        <v>550</v>
      </c>
      <c r="L145" s="22">
        <v>45658</v>
      </c>
      <c r="M145" s="22">
        <v>45717</v>
      </c>
      <c r="N145" s="21" t="s">
        <v>551</v>
      </c>
    </row>
    <row r="146" spans="1:14" hidden="1" x14ac:dyDescent="0.3">
      <c r="A146" s="1" t="s">
        <v>426</v>
      </c>
      <c r="B146" s="21" t="s">
        <v>223</v>
      </c>
      <c r="C146" s="21" t="s">
        <v>22</v>
      </c>
      <c r="D146" s="21" t="s">
        <v>270</v>
      </c>
      <c r="E146" s="21" t="s">
        <v>270</v>
      </c>
      <c r="F146" s="3" t="s">
        <v>270</v>
      </c>
      <c r="G146" s="21" t="s">
        <v>870</v>
      </c>
      <c r="H146" s="21" t="s">
        <v>867</v>
      </c>
      <c r="I146" s="21" t="s">
        <v>867</v>
      </c>
      <c r="J146" s="21" t="s">
        <v>867</v>
      </c>
      <c r="K146" s="21" t="s">
        <v>550</v>
      </c>
      <c r="L146" s="22">
        <v>45658</v>
      </c>
      <c r="M146" s="22">
        <v>45717</v>
      </c>
      <c r="N146" s="21" t="s">
        <v>551</v>
      </c>
    </row>
    <row r="147" spans="1:14" hidden="1" x14ac:dyDescent="0.3">
      <c r="A147" s="1" t="s">
        <v>871</v>
      </c>
      <c r="B147" s="21" t="s">
        <v>225</v>
      </c>
      <c r="C147" s="21" t="s">
        <v>22</v>
      </c>
      <c r="D147" s="21" t="s">
        <v>270</v>
      </c>
      <c r="E147" s="21" t="s">
        <v>270</v>
      </c>
      <c r="F147" s="3" t="s">
        <v>270</v>
      </c>
      <c r="G147" s="21" t="s">
        <v>226</v>
      </c>
      <c r="H147" s="21" t="s">
        <v>867</v>
      </c>
      <c r="I147" s="21" t="s">
        <v>867</v>
      </c>
      <c r="J147" s="21" t="s">
        <v>867</v>
      </c>
      <c r="K147" s="21" t="s">
        <v>550</v>
      </c>
      <c r="L147" s="22">
        <v>45658</v>
      </c>
      <c r="M147" s="22">
        <v>45717</v>
      </c>
      <c r="N147" s="21" t="s">
        <v>551</v>
      </c>
    </row>
    <row r="148" spans="1:14" hidden="1" x14ac:dyDescent="0.3">
      <c r="A148" s="1" t="s">
        <v>427</v>
      </c>
      <c r="B148" s="21" t="s">
        <v>227</v>
      </c>
      <c r="C148" s="21" t="s">
        <v>22</v>
      </c>
      <c r="D148" s="21" t="s">
        <v>270</v>
      </c>
      <c r="E148" s="21" t="s">
        <v>270</v>
      </c>
      <c r="F148" s="3" t="s">
        <v>270</v>
      </c>
      <c r="G148" s="21" t="s">
        <v>228</v>
      </c>
      <c r="H148" s="21" t="s">
        <v>867</v>
      </c>
      <c r="I148" s="21" t="s">
        <v>867</v>
      </c>
      <c r="J148" s="21" t="s">
        <v>867</v>
      </c>
      <c r="K148" s="21" t="s">
        <v>550</v>
      </c>
      <c r="L148" s="22">
        <v>45658</v>
      </c>
      <c r="M148" s="22">
        <v>45717</v>
      </c>
      <c r="N148" s="21" t="s">
        <v>551</v>
      </c>
    </row>
    <row r="149" spans="1:14" hidden="1" x14ac:dyDescent="0.3">
      <c r="A149" s="1" t="s">
        <v>872</v>
      </c>
      <c r="B149" s="21" t="s">
        <v>229</v>
      </c>
      <c r="C149" s="21" t="s">
        <v>22</v>
      </c>
      <c r="D149" s="21" t="s">
        <v>270</v>
      </c>
      <c r="E149" s="21" t="s">
        <v>270</v>
      </c>
      <c r="F149" s="3" t="s">
        <v>270</v>
      </c>
      <c r="G149" s="21" t="s">
        <v>230</v>
      </c>
      <c r="H149" s="21" t="s">
        <v>867</v>
      </c>
      <c r="I149" s="21" t="s">
        <v>867</v>
      </c>
      <c r="J149" s="21" t="s">
        <v>867</v>
      </c>
      <c r="K149" s="21" t="s">
        <v>550</v>
      </c>
      <c r="L149" s="22">
        <v>45658</v>
      </c>
      <c r="M149" s="22">
        <v>45717</v>
      </c>
      <c r="N149" s="21" t="s">
        <v>551</v>
      </c>
    </row>
    <row r="150" spans="1:14" hidden="1" x14ac:dyDescent="0.3">
      <c r="A150" s="1" t="s">
        <v>431</v>
      </c>
      <c r="F150" s="3" t="s">
        <v>270</v>
      </c>
      <c r="G150" s="21" t="s">
        <v>873</v>
      </c>
      <c r="H150" s="21" t="s">
        <v>623</v>
      </c>
      <c r="I150" s="21" t="s">
        <v>589</v>
      </c>
      <c r="J150" s="21" t="s">
        <v>624</v>
      </c>
      <c r="K150" s="21" t="s">
        <v>550</v>
      </c>
      <c r="L150" s="22">
        <v>45762</v>
      </c>
      <c r="M150" s="22">
        <v>45762</v>
      </c>
      <c r="N150" s="21" t="s">
        <v>551</v>
      </c>
    </row>
    <row r="151" spans="1:14" hidden="1" x14ac:dyDescent="0.3">
      <c r="A151" s="1" t="s">
        <v>874</v>
      </c>
      <c r="B151" s="21" t="s">
        <v>38</v>
      </c>
      <c r="C151" s="21" t="s">
        <v>22</v>
      </c>
      <c r="D151" s="21" t="s">
        <v>270</v>
      </c>
      <c r="E151" s="21" t="s">
        <v>270</v>
      </c>
      <c r="F151" s="3" t="s">
        <v>270</v>
      </c>
      <c r="G151" s="21" t="s">
        <v>875</v>
      </c>
      <c r="H151" s="21" t="s">
        <v>639</v>
      </c>
      <c r="I151" s="21" t="s">
        <v>589</v>
      </c>
      <c r="J151" s="21" t="s">
        <v>549</v>
      </c>
      <c r="K151" s="21" t="s">
        <v>550</v>
      </c>
      <c r="L151" s="22">
        <v>45729</v>
      </c>
      <c r="M151" s="22">
        <v>45717</v>
      </c>
      <c r="N151" s="21" t="s">
        <v>551</v>
      </c>
    </row>
    <row r="152" spans="1:14" hidden="1" x14ac:dyDescent="0.3">
      <c r="A152" s="1" t="s">
        <v>434</v>
      </c>
      <c r="B152" s="21" t="s">
        <v>41</v>
      </c>
      <c r="C152" s="21" t="s">
        <v>22</v>
      </c>
      <c r="D152" s="21" t="s">
        <v>270</v>
      </c>
      <c r="E152" s="21" t="s">
        <v>270</v>
      </c>
      <c r="F152" s="3" t="s">
        <v>270</v>
      </c>
      <c r="G152" s="21" t="s">
        <v>875</v>
      </c>
      <c r="H152" s="21" t="s">
        <v>639</v>
      </c>
      <c r="I152" s="21" t="s">
        <v>589</v>
      </c>
      <c r="J152" s="21" t="s">
        <v>549</v>
      </c>
      <c r="K152" s="21" t="s">
        <v>550</v>
      </c>
      <c r="L152" s="22">
        <v>45729</v>
      </c>
      <c r="M152" s="22">
        <v>45717</v>
      </c>
      <c r="N152" s="21" t="s">
        <v>551</v>
      </c>
    </row>
    <row r="153" spans="1:14" hidden="1" x14ac:dyDescent="0.3">
      <c r="A153" s="1"/>
      <c r="B153" s="21" t="s">
        <v>409</v>
      </c>
      <c r="F153" s="3"/>
      <c r="G153" s="1" t="s">
        <v>410</v>
      </c>
      <c r="H153" s="21" t="s">
        <v>846</v>
      </c>
      <c r="I153" s="21" t="s">
        <v>589</v>
      </c>
      <c r="J153" s="21" t="s">
        <v>624</v>
      </c>
    </row>
    <row r="154" spans="1:14" hidden="1" x14ac:dyDescent="0.3">
      <c r="A154" s="1"/>
      <c r="B154" s="21" t="s">
        <v>415</v>
      </c>
      <c r="C154" s="21" t="s">
        <v>22</v>
      </c>
      <c r="F154" s="3"/>
      <c r="G154" s="1" t="s">
        <v>301</v>
      </c>
      <c r="H154" s="21" t="s">
        <v>639</v>
      </c>
      <c r="I154" s="21" t="s">
        <v>589</v>
      </c>
      <c r="J154" s="21" t="s">
        <v>549</v>
      </c>
    </row>
    <row r="155" spans="1:14" hidden="1" x14ac:dyDescent="0.3">
      <c r="A155" s="1"/>
      <c r="B155" s="21" t="s">
        <v>421</v>
      </c>
      <c r="F155" s="3"/>
      <c r="G155" s="1" t="s">
        <v>422</v>
      </c>
      <c r="H155" s="21" t="s">
        <v>843</v>
      </c>
      <c r="I155" s="21" t="s">
        <v>589</v>
      </c>
      <c r="J155" s="21" t="s">
        <v>590</v>
      </c>
      <c r="K155" s="21" t="s">
        <v>550</v>
      </c>
    </row>
    <row r="156" spans="1:14" hidden="1" x14ac:dyDescent="0.3">
      <c r="A156" s="1"/>
      <c r="B156" s="135" t="s">
        <v>231</v>
      </c>
      <c r="F156" s="3"/>
      <c r="G156" s="100" t="s">
        <v>232</v>
      </c>
      <c r="H156" s="21" t="s">
        <v>639</v>
      </c>
      <c r="I156" s="21" t="s">
        <v>589</v>
      </c>
      <c r="J156" s="21" t="s">
        <v>549</v>
      </c>
      <c r="K156" s="21" t="s">
        <v>550</v>
      </c>
    </row>
    <row r="157" spans="1:14" hidden="1" x14ac:dyDescent="0.3">
      <c r="A157" s="1"/>
      <c r="B157" s="127" t="s">
        <v>95</v>
      </c>
      <c r="F157" s="3"/>
      <c r="G157" s="1" t="s">
        <v>876</v>
      </c>
      <c r="H157" s="21" t="s">
        <v>639</v>
      </c>
      <c r="I157" s="21" t="s">
        <v>589</v>
      </c>
      <c r="J157" s="21" t="s">
        <v>549</v>
      </c>
      <c r="K157" s="21" t="s">
        <v>550</v>
      </c>
    </row>
    <row r="158" spans="1:14" hidden="1" x14ac:dyDescent="0.3">
      <c r="A158" s="1"/>
      <c r="B158" s="135" t="s">
        <v>300</v>
      </c>
      <c r="C158" s="21" t="s">
        <v>22</v>
      </c>
      <c r="G158" s="136" t="s">
        <v>877</v>
      </c>
      <c r="H158" s="21" t="s">
        <v>639</v>
      </c>
      <c r="I158" s="21" t="s">
        <v>589</v>
      </c>
      <c r="J158" s="21" t="s">
        <v>549</v>
      </c>
      <c r="K158" s="21" t="s">
        <v>550</v>
      </c>
    </row>
    <row r="159" spans="1:14" ht="15.6" hidden="1" x14ac:dyDescent="0.3">
      <c r="B159" s="21" t="s">
        <v>878</v>
      </c>
      <c r="C159" s="21" t="s">
        <v>22</v>
      </c>
      <c r="D159" s="21" t="s">
        <v>40</v>
      </c>
      <c r="E159" s="137" t="s">
        <v>879</v>
      </c>
      <c r="F159" s="3" t="s">
        <v>880</v>
      </c>
      <c r="G159" s="21" t="s">
        <v>881</v>
      </c>
      <c r="H159" s="21" t="s">
        <v>882</v>
      </c>
      <c r="I159" s="21" t="s">
        <v>589</v>
      </c>
      <c r="J159" s="21" t="s">
        <v>617</v>
      </c>
      <c r="K159" s="21" t="s">
        <v>550</v>
      </c>
    </row>
    <row r="160" spans="1:14" ht="15.6" hidden="1" x14ac:dyDescent="0.3">
      <c r="B160" s="21" t="s">
        <v>883</v>
      </c>
      <c r="C160" s="21" t="s">
        <v>22</v>
      </c>
      <c r="D160" s="21" t="s">
        <v>40</v>
      </c>
      <c r="E160" s="137" t="s">
        <v>879</v>
      </c>
      <c r="F160" s="3" t="s">
        <v>884</v>
      </c>
      <c r="G160" s="21" t="s">
        <v>885</v>
      </c>
      <c r="H160" s="21" t="s">
        <v>882</v>
      </c>
      <c r="I160" s="21" t="s">
        <v>589</v>
      </c>
      <c r="J160" s="21" t="s">
        <v>617</v>
      </c>
      <c r="K160" s="21" t="s">
        <v>550</v>
      </c>
    </row>
    <row r="161" spans="2:17" ht="15.6" hidden="1" x14ac:dyDescent="0.3">
      <c r="B161" s="129" t="s">
        <v>1277</v>
      </c>
      <c r="C161" s="129" t="s">
        <v>577</v>
      </c>
      <c r="D161" s="129"/>
      <c r="E161" s="149" t="s">
        <v>879</v>
      </c>
      <c r="F161" s="130"/>
      <c r="G161" s="129" t="s">
        <v>1278</v>
      </c>
      <c r="H161" s="129"/>
      <c r="I161" s="129"/>
      <c r="J161" s="129"/>
      <c r="K161" s="129"/>
      <c r="L161" s="129"/>
      <c r="M161" s="129"/>
      <c r="N161" s="129"/>
      <c r="O161" s="129" t="s">
        <v>1280</v>
      </c>
      <c r="P161" s="133">
        <v>0</v>
      </c>
      <c r="Q161" s="129"/>
    </row>
    <row r="162" spans="2:17" hidden="1" x14ac:dyDescent="0.3">
      <c r="B162" s="69" t="s">
        <v>1285</v>
      </c>
      <c r="C162" s="69" t="s">
        <v>577</v>
      </c>
      <c r="D162" s="69"/>
      <c r="E162" s="69" t="s">
        <v>470</v>
      </c>
      <c r="F162" s="138"/>
      <c r="G162" s="69" t="s">
        <v>1286</v>
      </c>
      <c r="H162" s="69"/>
      <c r="I162" s="69"/>
      <c r="J162" s="69"/>
      <c r="K162" s="69"/>
      <c r="L162" s="69"/>
      <c r="M162" s="69"/>
      <c r="N162" s="69"/>
      <c r="O162" s="69" t="s">
        <v>1280</v>
      </c>
      <c r="P162" s="140">
        <v>0</v>
      </c>
      <c r="Q162" s="69" t="s">
        <v>1287</v>
      </c>
    </row>
    <row r="163" spans="2:17" x14ac:dyDescent="0.3">
      <c r="B163" s="31" t="s">
        <v>1293</v>
      </c>
      <c r="C163" s="31" t="s">
        <v>577</v>
      </c>
      <c r="D163" s="31"/>
      <c r="E163" s="31" t="s">
        <v>114</v>
      </c>
      <c r="F163" s="67"/>
      <c r="G163" s="31" t="s">
        <v>1294</v>
      </c>
      <c r="H163" s="31"/>
      <c r="I163" s="31"/>
      <c r="J163" s="31"/>
      <c r="K163" s="31"/>
      <c r="L163" s="31"/>
      <c r="M163" s="31"/>
      <c r="N163" s="31"/>
      <c r="O163" s="31"/>
      <c r="P163" s="152"/>
      <c r="Q163" s="31"/>
    </row>
    <row r="164" spans="2:17" x14ac:dyDescent="0.3">
      <c r="F164" s="3"/>
    </row>
    <row r="165" spans="2:17" x14ac:dyDescent="0.3">
      <c r="F165" s="3"/>
    </row>
    <row r="166" spans="2:17" x14ac:dyDescent="0.3">
      <c r="F166" s="3"/>
    </row>
    <row r="167" spans="2:17" x14ac:dyDescent="0.3">
      <c r="F167" s="3"/>
    </row>
    <row r="168" spans="2:17" x14ac:dyDescent="0.3">
      <c r="F168" s="3"/>
    </row>
    <row r="169" spans="2:17" x14ac:dyDescent="0.3">
      <c r="F169" s="3"/>
    </row>
    <row r="170" spans="2:17" x14ac:dyDescent="0.3">
      <c r="F170" s="3"/>
    </row>
    <row r="171" spans="2:17" x14ac:dyDescent="0.3">
      <c r="F171" s="3"/>
    </row>
    <row r="172" spans="2:17" x14ac:dyDescent="0.3">
      <c r="F172" s="3"/>
    </row>
    <row r="173" spans="2:17" x14ac:dyDescent="0.3">
      <c r="F173" s="3"/>
    </row>
    <row r="174" spans="2:17" x14ac:dyDescent="0.3">
      <c r="F174" s="3"/>
    </row>
    <row r="175" spans="2:17" x14ac:dyDescent="0.3">
      <c r="F175" s="3"/>
    </row>
    <row r="176" spans="2:17" x14ac:dyDescent="0.3">
      <c r="F176" s="3"/>
    </row>
    <row r="177" spans="6:6" x14ac:dyDescent="0.3">
      <c r="F177" s="3"/>
    </row>
    <row r="178" spans="6:6" x14ac:dyDescent="0.3">
      <c r="F178" s="3"/>
    </row>
    <row r="179" spans="6:6" x14ac:dyDescent="0.3">
      <c r="F179" s="3"/>
    </row>
    <row r="180" spans="6:6" x14ac:dyDescent="0.3">
      <c r="F180" s="3"/>
    </row>
    <row r="181" spans="6:6" x14ac:dyDescent="0.3">
      <c r="F181" s="3"/>
    </row>
    <row r="182" spans="6:6" x14ac:dyDescent="0.3">
      <c r="F182" s="3"/>
    </row>
    <row r="183" spans="6:6" x14ac:dyDescent="0.3">
      <c r="F183" s="3"/>
    </row>
    <row r="184" spans="6:6" x14ac:dyDescent="0.3">
      <c r="F184" s="3"/>
    </row>
    <row r="185" spans="6:6" x14ac:dyDescent="0.3">
      <c r="F185" s="3"/>
    </row>
    <row r="186" spans="6:6" x14ac:dyDescent="0.3">
      <c r="F186" s="3"/>
    </row>
    <row r="187" spans="6:6" x14ac:dyDescent="0.3">
      <c r="F187" s="3"/>
    </row>
    <row r="188" spans="6:6" x14ac:dyDescent="0.3">
      <c r="F188" s="3"/>
    </row>
    <row r="189" spans="6:6" x14ac:dyDescent="0.3">
      <c r="F189" s="3"/>
    </row>
    <row r="190" spans="6:6" x14ac:dyDescent="0.3">
      <c r="F190" s="3"/>
    </row>
    <row r="191" spans="6:6" x14ac:dyDescent="0.3">
      <c r="F191" s="3"/>
    </row>
    <row r="192" spans="6:6" x14ac:dyDescent="0.3">
      <c r="F192" s="3"/>
    </row>
    <row r="193" spans="6:6" x14ac:dyDescent="0.3">
      <c r="F193" s="3"/>
    </row>
    <row r="194" spans="6:6" x14ac:dyDescent="0.3">
      <c r="F194" s="3"/>
    </row>
    <row r="195" spans="6:6" x14ac:dyDescent="0.3">
      <c r="F195" s="3"/>
    </row>
    <row r="196" spans="6:6" x14ac:dyDescent="0.3">
      <c r="F196" s="3"/>
    </row>
    <row r="197" spans="6:6" x14ac:dyDescent="0.3">
      <c r="F197" s="3"/>
    </row>
    <row r="198" spans="6:6" x14ac:dyDescent="0.3">
      <c r="F198" s="3"/>
    </row>
    <row r="199" spans="6:6" x14ac:dyDescent="0.3">
      <c r="F199" s="3"/>
    </row>
    <row r="200" spans="6:6" x14ac:dyDescent="0.3">
      <c r="F200" s="3"/>
    </row>
    <row r="201" spans="6:6" x14ac:dyDescent="0.3">
      <c r="F201" s="3"/>
    </row>
    <row r="202" spans="6:6" x14ac:dyDescent="0.3">
      <c r="F202" s="3"/>
    </row>
    <row r="203" spans="6:6" x14ac:dyDescent="0.3">
      <c r="F203" s="3"/>
    </row>
    <row r="204" spans="6:6" x14ac:dyDescent="0.3">
      <c r="F204" s="3"/>
    </row>
    <row r="205" spans="6:6" x14ac:dyDescent="0.3">
      <c r="F205" s="3"/>
    </row>
    <row r="206" spans="6:6" x14ac:dyDescent="0.3">
      <c r="F206" s="3"/>
    </row>
    <row r="207" spans="6:6" x14ac:dyDescent="0.3">
      <c r="F207" s="3"/>
    </row>
    <row r="208" spans="6:6" x14ac:dyDescent="0.3">
      <c r="F208" s="3"/>
    </row>
    <row r="209" spans="6:6" x14ac:dyDescent="0.3">
      <c r="F209" s="3"/>
    </row>
    <row r="210" spans="6:6" x14ac:dyDescent="0.3">
      <c r="F210" s="3"/>
    </row>
    <row r="211" spans="6:6" x14ac:dyDescent="0.3">
      <c r="F211" s="3"/>
    </row>
    <row r="212" spans="6:6" x14ac:dyDescent="0.3">
      <c r="F212" s="3"/>
    </row>
    <row r="213" spans="6:6" x14ac:dyDescent="0.3">
      <c r="F213" s="3"/>
    </row>
    <row r="214" spans="6:6" x14ac:dyDescent="0.3">
      <c r="F214" s="3"/>
    </row>
    <row r="215" spans="6:6" x14ac:dyDescent="0.3">
      <c r="F215" s="3"/>
    </row>
    <row r="216" spans="6:6" x14ac:dyDescent="0.3">
      <c r="F216" s="3"/>
    </row>
    <row r="217" spans="6:6" x14ac:dyDescent="0.3">
      <c r="F217" s="3"/>
    </row>
    <row r="218" spans="6:6" x14ac:dyDescent="0.3">
      <c r="F218" s="3"/>
    </row>
    <row r="219" spans="6:6" x14ac:dyDescent="0.3">
      <c r="F219" s="3"/>
    </row>
    <row r="220" spans="6:6" x14ac:dyDescent="0.3">
      <c r="F220" s="3"/>
    </row>
    <row r="221" spans="6:6" x14ac:dyDescent="0.3">
      <c r="F221" s="3"/>
    </row>
    <row r="222" spans="6:6" x14ac:dyDescent="0.3">
      <c r="F222" s="3"/>
    </row>
    <row r="223" spans="6:6" x14ac:dyDescent="0.3">
      <c r="F223" s="3"/>
    </row>
    <row r="224" spans="6:6" x14ac:dyDescent="0.3">
      <c r="F224" s="3"/>
    </row>
    <row r="225" spans="6:6" x14ac:dyDescent="0.3">
      <c r="F225" s="3"/>
    </row>
    <row r="226" spans="6:6" x14ac:dyDescent="0.3">
      <c r="F226" s="3"/>
    </row>
    <row r="227" spans="6:6" x14ac:dyDescent="0.3">
      <c r="F227" s="3"/>
    </row>
    <row r="228" spans="6:6" x14ac:dyDescent="0.3">
      <c r="F228" s="3"/>
    </row>
    <row r="229" spans="6:6" x14ac:dyDescent="0.3">
      <c r="F229" s="3"/>
    </row>
    <row r="230" spans="6:6" x14ac:dyDescent="0.3">
      <c r="F230" s="3"/>
    </row>
    <row r="231" spans="6:6" x14ac:dyDescent="0.3">
      <c r="F231" s="3"/>
    </row>
    <row r="232" spans="6:6" x14ac:dyDescent="0.3">
      <c r="F232" s="3"/>
    </row>
    <row r="233" spans="6:6" x14ac:dyDescent="0.3">
      <c r="F233" s="3"/>
    </row>
    <row r="234" spans="6:6" x14ac:dyDescent="0.3">
      <c r="F234" s="3"/>
    </row>
    <row r="235" spans="6:6" x14ac:dyDescent="0.3">
      <c r="F235" s="3"/>
    </row>
    <row r="236" spans="6:6" x14ac:dyDescent="0.3">
      <c r="F236" s="3"/>
    </row>
    <row r="237" spans="6:6" x14ac:dyDescent="0.3">
      <c r="F237" s="3"/>
    </row>
    <row r="238" spans="6:6" x14ac:dyDescent="0.3">
      <c r="F238" s="3"/>
    </row>
    <row r="239" spans="6:6" x14ac:dyDescent="0.3">
      <c r="F239" s="3"/>
    </row>
    <row r="240" spans="6:6" x14ac:dyDescent="0.3">
      <c r="F240" s="3"/>
    </row>
    <row r="241" spans="6:6" x14ac:dyDescent="0.3">
      <c r="F241" s="3"/>
    </row>
    <row r="242" spans="6:6" x14ac:dyDescent="0.3">
      <c r="F242" s="3"/>
    </row>
    <row r="243" spans="6:6" x14ac:dyDescent="0.3">
      <c r="F243" s="3"/>
    </row>
    <row r="244" spans="6:6" x14ac:dyDescent="0.3">
      <c r="F244" s="3"/>
    </row>
    <row r="245" spans="6:6" x14ac:dyDescent="0.3">
      <c r="F245" s="3"/>
    </row>
    <row r="246" spans="6:6" x14ac:dyDescent="0.3">
      <c r="F246" s="3"/>
    </row>
    <row r="247" spans="6:6" x14ac:dyDescent="0.3">
      <c r="F247" s="3"/>
    </row>
    <row r="248" spans="6:6" x14ac:dyDescent="0.3">
      <c r="F248" s="3"/>
    </row>
    <row r="249" spans="6:6" x14ac:dyDescent="0.3">
      <c r="F249" s="3"/>
    </row>
    <row r="250" spans="6:6" x14ac:dyDescent="0.3">
      <c r="F250" s="3"/>
    </row>
    <row r="251" spans="6:6" x14ac:dyDescent="0.3">
      <c r="F251" s="3"/>
    </row>
    <row r="252" spans="6:6" x14ac:dyDescent="0.3">
      <c r="F252" s="3"/>
    </row>
    <row r="253" spans="6:6" x14ac:dyDescent="0.3">
      <c r="F253" s="3"/>
    </row>
    <row r="254" spans="6:6" x14ac:dyDescent="0.3">
      <c r="F254" s="3"/>
    </row>
    <row r="255" spans="6:6" x14ac:dyDescent="0.3">
      <c r="F255" s="3"/>
    </row>
    <row r="256" spans="6:6" x14ac:dyDescent="0.3">
      <c r="F256" s="3"/>
    </row>
    <row r="257" spans="6:6" x14ac:dyDescent="0.3">
      <c r="F257" s="3"/>
    </row>
    <row r="258" spans="6:6" x14ac:dyDescent="0.3">
      <c r="F258" s="3"/>
    </row>
    <row r="259" spans="6:6" x14ac:dyDescent="0.3">
      <c r="F259" s="3"/>
    </row>
    <row r="260" spans="6:6" x14ac:dyDescent="0.3">
      <c r="F260" s="3"/>
    </row>
    <row r="261" spans="6:6" x14ac:dyDescent="0.3">
      <c r="F261" s="3"/>
    </row>
    <row r="262" spans="6:6" x14ac:dyDescent="0.3">
      <c r="F262" s="3"/>
    </row>
    <row r="263" spans="6:6" x14ac:dyDescent="0.3">
      <c r="F263" s="3"/>
    </row>
    <row r="264" spans="6:6" x14ac:dyDescent="0.3">
      <c r="F264" s="3"/>
    </row>
    <row r="265" spans="6:6" x14ac:dyDescent="0.3">
      <c r="F265" s="3"/>
    </row>
    <row r="266" spans="6:6" x14ac:dyDescent="0.3">
      <c r="F266" s="3"/>
    </row>
    <row r="267" spans="6:6" x14ac:dyDescent="0.3">
      <c r="F267" s="3"/>
    </row>
    <row r="268" spans="6:6" x14ac:dyDescent="0.3">
      <c r="F268" s="3"/>
    </row>
    <row r="269" spans="6:6" x14ac:dyDescent="0.3">
      <c r="F269" s="3"/>
    </row>
    <row r="270" spans="6:6" x14ac:dyDescent="0.3">
      <c r="F270" s="3"/>
    </row>
    <row r="271" spans="6:6" x14ac:dyDescent="0.3">
      <c r="F271" s="3"/>
    </row>
    <row r="272" spans="6:6" x14ac:dyDescent="0.3">
      <c r="F272" s="3"/>
    </row>
    <row r="273" spans="6:6" x14ac:dyDescent="0.3">
      <c r="F273" s="3"/>
    </row>
    <row r="274" spans="6:6" x14ac:dyDescent="0.3">
      <c r="F274" s="3"/>
    </row>
    <row r="275" spans="6:6" x14ac:dyDescent="0.3">
      <c r="F275" s="3"/>
    </row>
    <row r="276" spans="6:6" x14ac:dyDescent="0.3">
      <c r="F276" s="3"/>
    </row>
    <row r="277" spans="6:6" x14ac:dyDescent="0.3">
      <c r="F277" s="3"/>
    </row>
    <row r="278" spans="6:6" x14ac:dyDescent="0.3">
      <c r="F278" s="3"/>
    </row>
    <row r="279" spans="6:6" x14ac:dyDescent="0.3">
      <c r="F279" s="3"/>
    </row>
    <row r="280" spans="6:6" x14ac:dyDescent="0.3">
      <c r="F280" s="3"/>
    </row>
    <row r="281" spans="6:6" x14ac:dyDescent="0.3">
      <c r="F281" s="3"/>
    </row>
    <row r="282" spans="6:6" x14ac:dyDescent="0.3">
      <c r="F282" s="3"/>
    </row>
    <row r="283" spans="6:6" x14ac:dyDescent="0.3">
      <c r="F283" s="3"/>
    </row>
    <row r="284" spans="6:6" x14ac:dyDescent="0.3">
      <c r="F284" s="3"/>
    </row>
    <row r="285" spans="6:6" x14ac:dyDescent="0.3">
      <c r="F285" s="3"/>
    </row>
    <row r="286" spans="6:6" x14ac:dyDescent="0.3">
      <c r="F286" s="3"/>
    </row>
    <row r="287" spans="6:6" x14ac:dyDescent="0.3">
      <c r="F287" s="3"/>
    </row>
    <row r="288" spans="6:6" x14ac:dyDescent="0.3">
      <c r="F288" s="3"/>
    </row>
    <row r="289" spans="6:6" x14ac:dyDescent="0.3">
      <c r="F289" s="3"/>
    </row>
    <row r="290" spans="6:6" x14ac:dyDescent="0.3">
      <c r="F290" s="3"/>
    </row>
    <row r="291" spans="6:6" x14ac:dyDescent="0.3">
      <c r="F291" s="3"/>
    </row>
    <row r="292" spans="6:6" x14ac:dyDescent="0.3">
      <c r="F292" s="3"/>
    </row>
    <row r="293" spans="6:6" x14ac:dyDescent="0.3">
      <c r="F293" s="3"/>
    </row>
    <row r="294" spans="6:6" x14ac:dyDescent="0.3">
      <c r="F294" s="3"/>
    </row>
    <row r="295" spans="6:6" x14ac:dyDescent="0.3">
      <c r="F295" s="3"/>
    </row>
    <row r="296" spans="6:6" x14ac:dyDescent="0.3">
      <c r="F296" s="3"/>
    </row>
    <row r="297" spans="6:6" x14ac:dyDescent="0.3">
      <c r="F297" s="3"/>
    </row>
    <row r="298" spans="6:6" x14ac:dyDescent="0.3">
      <c r="F298" s="3"/>
    </row>
    <row r="299" spans="6:6" x14ac:dyDescent="0.3">
      <c r="F299" s="3"/>
    </row>
    <row r="300" spans="6:6" x14ac:dyDescent="0.3">
      <c r="F300" s="3"/>
    </row>
    <row r="301" spans="6:6" x14ac:dyDescent="0.3">
      <c r="F301" s="3"/>
    </row>
    <row r="302" spans="6:6" x14ac:dyDescent="0.3">
      <c r="F302" s="3"/>
    </row>
    <row r="303" spans="6:6" x14ac:dyDescent="0.3">
      <c r="F303" s="3"/>
    </row>
    <row r="304" spans="6:6" x14ac:dyDescent="0.3">
      <c r="F304" s="3"/>
    </row>
    <row r="305" spans="6:6" x14ac:dyDescent="0.3">
      <c r="F305" s="3"/>
    </row>
    <row r="306" spans="6:6" x14ac:dyDescent="0.3">
      <c r="F306" s="3"/>
    </row>
    <row r="307" spans="6:6" x14ac:dyDescent="0.3">
      <c r="F307" s="3"/>
    </row>
    <row r="308" spans="6:6" x14ac:dyDescent="0.3">
      <c r="F308" s="3"/>
    </row>
    <row r="309" spans="6:6" x14ac:dyDescent="0.3">
      <c r="F309" s="3"/>
    </row>
    <row r="310" spans="6:6" x14ac:dyDescent="0.3">
      <c r="F310" s="3"/>
    </row>
    <row r="311" spans="6:6" x14ac:dyDescent="0.3">
      <c r="F311" s="3"/>
    </row>
    <row r="312" spans="6:6" x14ac:dyDescent="0.3">
      <c r="F312" s="3"/>
    </row>
    <row r="313" spans="6:6" x14ac:dyDescent="0.3">
      <c r="F313" s="3"/>
    </row>
    <row r="314" spans="6:6" x14ac:dyDescent="0.3">
      <c r="F314" s="3"/>
    </row>
    <row r="315" spans="6:6" x14ac:dyDescent="0.3">
      <c r="F315" s="3"/>
    </row>
    <row r="316" spans="6:6" x14ac:dyDescent="0.3">
      <c r="F316" s="3"/>
    </row>
    <row r="317" spans="6:6" x14ac:dyDescent="0.3">
      <c r="F317" s="3"/>
    </row>
    <row r="318" spans="6:6" x14ac:dyDescent="0.3">
      <c r="F318" s="3"/>
    </row>
    <row r="319" spans="6:6" x14ac:dyDescent="0.3">
      <c r="F319" s="3"/>
    </row>
    <row r="320" spans="6:6" x14ac:dyDescent="0.3">
      <c r="F320" s="3"/>
    </row>
    <row r="321" spans="6:6" x14ac:dyDescent="0.3">
      <c r="F321" s="3"/>
    </row>
    <row r="322" spans="6:6" x14ac:dyDescent="0.3">
      <c r="F322" s="3"/>
    </row>
    <row r="323" spans="6:6" x14ac:dyDescent="0.3">
      <c r="F323" s="3"/>
    </row>
    <row r="324" spans="6:6" x14ac:dyDescent="0.3">
      <c r="F324" s="3"/>
    </row>
    <row r="325" spans="6:6" x14ac:dyDescent="0.3">
      <c r="F325" s="3"/>
    </row>
    <row r="326" spans="6:6" x14ac:dyDescent="0.3">
      <c r="F326" s="3"/>
    </row>
    <row r="327" spans="6:6" x14ac:dyDescent="0.3">
      <c r="F327" s="3"/>
    </row>
    <row r="328" spans="6:6" x14ac:dyDescent="0.3">
      <c r="F328" s="3"/>
    </row>
    <row r="329" spans="6:6" x14ac:dyDescent="0.3">
      <c r="F329" s="3"/>
    </row>
    <row r="330" spans="6:6" x14ac:dyDescent="0.3">
      <c r="F330" s="3"/>
    </row>
    <row r="331" spans="6:6" x14ac:dyDescent="0.3">
      <c r="F331" s="3"/>
    </row>
    <row r="332" spans="6:6" x14ac:dyDescent="0.3">
      <c r="F332" s="3"/>
    </row>
    <row r="333" spans="6:6" x14ac:dyDescent="0.3">
      <c r="F333" s="3"/>
    </row>
    <row r="334" spans="6:6" x14ac:dyDescent="0.3">
      <c r="F334" s="3"/>
    </row>
    <row r="335" spans="6:6" x14ac:dyDescent="0.3">
      <c r="F335" s="3"/>
    </row>
    <row r="336" spans="6:6" x14ac:dyDescent="0.3">
      <c r="F336" s="3"/>
    </row>
    <row r="337" spans="6:6" x14ac:dyDescent="0.3">
      <c r="F337" s="3"/>
    </row>
    <row r="338" spans="6:6" x14ac:dyDescent="0.3">
      <c r="F338" s="3"/>
    </row>
    <row r="339" spans="6:6" x14ac:dyDescent="0.3">
      <c r="F339" s="3"/>
    </row>
    <row r="340" spans="6:6" x14ac:dyDescent="0.3">
      <c r="F340" s="3"/>
    </row>
    <row r="341" spans="6:6" x14ac:dyDescent="0.3">
      <c r="F341" s="3"/>
    </row>
    <row r="342" spans="6:6" x14ac:dyDescent="0.3">
      <c r="F342" s="3"/>
    </row>
    <row r="343" spans="6:6" x14ac:dyDescent="0.3">
      <c r="F343" s="3"/>
    </row>
    <row r="344" spans="6:6" x14ac:dyDescent="0.3">
      <c r="F344" s="3"/>
    </row>
    <row r="345" spans="6:6" x14ac:dyDescent="0.3">
      <c r="F345" s="3"/>
    </row>
    <row r="346" spans="6:6" x14ac:dyDescent="0.3">
      <c r="F346" s="3"/>
    </row>
    <row r="347" spans="6:6" x14ac:dyDescent="0.3">
      <c r="F347" s="3"/>
    </row>
    <row r="348" spans="6:6" x14ac:dyDescent="0.3">
      <c r="F348" s="3"/>
    </row>
    <row r="349" spans="6:6" x14ac:dyDescent="0.3">
      <c r="F349" s="3"/>
    </row>
    <row r="350" spans="6:6" x14ac:dyDescent="0.3">
      <c r="F350" s="3"/>
    </row>
    <row r="351" spans="6:6" x14ac:dyDescent="0.3">
      <c r="F351" s="3"/>
    </row>
    <row r="352" spans="6:6" x14ac:dyDescent="0.3">
      <c r="F352" s="3"/>
    </row>
    <row r="353" spans="6:6" x14ac:dyDescent="0.3">
      <c r="F353" s="3"/>
    </row>
    <row r="354" spans="6:6" x14ac:dyDescent="0.3">
      <c r="F354" s="3"/>
    </row>
    <row r="355" spans="6:6" x14ac:dyDescent="0.3">
      <c r="F355" s="3"/>
    </row>
    <row r="356" spans="6:6" x14ac:dyDescent="0.3">
      <c r="F356" s="3"/>
    </row>
    <row r="357" spans="6:6" x14ac:dyDescent="0.3">
      <c r="F357" s="3"/>
    </row>
    <row r="358" spans="6:6" x14ac:dyDescent="0.3">
      <c r="F358" s="3"/>
    </row>
    <row r="359" spans="6:6" x14ac:dyDescent="0.3">
      <c r="F359" s="3"/>
    </row>
    <row r="360" spans="6:6" x14ac:dyDescent="0.3">
      <c r="F360" s="3"/>
    </row>
    <row r="361" spans="6:6" x14ac:dyDescent="0.3">
      <c r="F361" s="3"/>
    </row>
    <row r="362" spans="6:6" x14ac:dyDescent="0.3">
      <c r="F362" s="3"/>
    </row>
    <row r="363" spans="6:6" x14ac:dyDescent="0.3">
      <c r="F363" s="3"/>
    </row>
    <row r="364" spans="6:6" x14ac:dyDescent="0.3">
      <c r="F364" s="3"/>
    </row>
    <row r="365" spans="6:6" x14ac:dyDescent="0.3">
      <c r="F365" s="3"/>
    </row>
    <row r="366" spans="6:6" x14ac:dyDescent="0.3">
      <c r="F366" s="3"/>
    </row>
    <row r="367" spans="6:6" x14ac:dyDescent="0.3">
      <c r="F367" s="3"/>
    </row>
    <row r="368" spans="6:6" x14ac:dyDescent="0.3">
      <c r="F368" s="3"/>
    </row>
    <row r="369" spans="6:6" x14ac:dyDescent="0.3">
      <c r="F369" s="3"/>
    </row>
    <row r="370" spans="6:6" x14ac:dyDescent="0.3">
      <c r="F370" s="3"/>
    </row>
    <row r="371" spans="6:6" x14ac:dyDescent="0.3">
      <c r="F371" s="3"/>
    </row>
    <row r="372" spans="6:6" x14ac:dyDescent="0.3">
      <c r="F372" s="3"/>
    </row>
    <row r="373" spans="6:6" x14ac:dyDescent="0.3">
      <c r="F373" s="3"/>
    </row>
    <row r="374" spans="6:6" x14ac:dyDescent="0.3">
      <c r="F374" s="3"/>
    </row>
    <row r="375" spans="6:6" x14ac:dyDescent="0.3">
      <c r="F375" s="3"/>
    </row>
    <row r="376" spans="6:6" x14ac:dyDescent="0.3">
      <c r="F376" s="3"/>
    </row>
    <row r="377" spans="6:6" x14ac:dyDescent="0.3">
      <c r="F377" s="3"/>
    </row>
    <row r="378" spans="6:6" x14ac:dyDescent="0.3">
      <c r="F378" s="3"/>
    </row>
  </sheetData>
  <autoFilter ref="A1:O163" xr:uid="{D989956D-CD13-45E6-B862-4BF2F9F0B7E2}">
    <filterColumn colId="7">
      <colorFilter dxfId="1"/>
    </filterColumn>
  </autoFilter>
  <conditionalFormatting sqref="B170:B1048576 B1:B157 B159">
    <cfRule type="duplicateValues" dxfId="55" priority="9"/>
  </conditionalFormatting>
  <conditionalFormatting sqref="B170:B1048576 B151:B157 B1:B149 B159">
    <cfRule type="duplicateValues" dxfId="54" priority="8"/>
  </conditionalFormatting>
  <conditionalFormatting sqref="C135 B132:B134">
    <cfRule type="duplicateValues" dxfId="53" priority="5"/>
  </conditionalFormatting>
  <conditionalFormatting sqref="F17">
    <cfRule type="duplicateValues" dxfId="52" priority="3"/>
  </conditionalFormatting>
  <conditionalFormatting sqref="F18:F87 F124:F126 F2:F16 F89:F122 F128:F157 F159:F378">
    <cfRule type="duplicateValues" dxfId="51" priority="7"/>
  </conditionalFormatting>
  <conditionalFormatting sqref="F88">
    <cfRule type="duplicateValues" dxfId="50" priority="1"/>
  </conditionalFormatting>
  <conditionalFormatting sqref="F123">
    <cfRule type="duplicateValues" dxfId="49" priority="6"/>
  </conditionalFormatting>
  <conditionalFormatting sqref="F127">
    <cfRule type="duplicateValues" dxfId="48" priority="2"/>
  </conditionalFormatting>
  <conditionalFormatting sqref="F132">
    <cfRule type="duplicateValues" dxfId="47" priority="4"/>
  </conditionalFormatting>
  <conditionalFormatting sqref="G4:G5 B151:B157 B1:B149 B159">
    <cfRule type="duplicateValues" dxfId="46" priority="10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F664-FE37-4F3A-94F7-79ADE995E6E6}">
  <dimension ref="A1:S34"/>
  <sheetViews>
    <sheetView tabSelected="1" workbookViewId="0">
      <selection activeCell="A2" sqref="A2"/>
    </sheetView>
  </sheetViews>
  <sheetFormatPr defaultRowHeight="14.4" x14ac:dyDescent="0.3"/>
  <cols>
    <col min="1" max="1" width="12.33203125" bestFit="1" customWidth="1"/>
    <col min="2" max="2" width="9.21875" bestFit="1" customWidth="1"/>
    <col min="3" max="3" width="15.21875" bestFit="1" customWidth="1"/>
    <col min="4" max="4" width="27.33203125" bestFit="1" customWidth="1"/>
    <col min="5" max="5" width="16.109375" bestFit="1" customWidth="1"/>
    <col min="6" max="6" width="30.33203125" bestFit="1" customWidth="1"/>
    <col min="7" max="7" width="16" bestFit="1" customWidth="1"/>
    <col min="8" max="8" width="7.88671875" bestFit="1" customWidth="1"/>
    <col min="9" max="9" width="10.6640625" bestFit="1" customWidth="1"/>
    <col min="10" max="10" width="6.44140625" bestFit="1" customWidth="1"/>
    <col min="11" max="11" width="17.5546875" bestFit="1" customWidth="1"/>
    <col min="12" max="12" width="20.44140625" bestFit="1" customWidth="1"/>
    <col min="13" max="13" width="17.44140625" bestFit="1" customWidth="1"/>
    <col min="14" max="14" width="26.88671875" bestFit="1" customWidth="1"/>
    <col min="15" max="15" width="6.6640625" bestFit="1" customWidth="1"/>
    <col min="16" max="16" width="20.6640625" bestFit="1" customWidth="1"/>
    <col min="17" max="17" width="35.33203125" bestFit="1" customWidth="1"/>
    <col min="18" max="18" width="24.109375" bestFit="1" customWidth="1"/>
  </cols>
  <sheetData>
    <row r="1" spans="1:19" x14ac:dyDescent="0.3">
      <c r="A1" s="21" t="s">
        <v>531</v>
      </c>
      <c r="B1" s="21" t="s">
        <v>4</v>
      </c>
      <c r="C1" s="21" t="s">
        <v>532</v>
      </c>
      <c r="D1" s="21" t="s">
        <v>533</v>
      </c>
      <c r="E1" s="21" t="s">
        <v>534</v>
      </c>
      <c r="F1" s="21" t="s">
        <v>535</v>
      </c>
      <c r="G1" s="21" t="s">
        <v>19</v>
      </c>
      <c r="H1" s="21" t="s">
        <v>536</v>
      </c>
      <c r="I1" s="21" t="s">
        <v>537</v>
      </c>
      <c r="J1" s="21" t="s">
        <v>538</v>
      </c>
      <c r="K1" s="21" t="s">
        <v>539</v>
      </c>
      <c r="L1" s="21" t="s">
        <v>540</v>
      </c>
      <c r="M1" s="21" t="s">
        <v>541</v>
      </c>
      <c r="N1" s="21" t="s">
        <v>542</v>
      </c>
      <c r="O1" s="132" t="s">
        <v>1279</v>
      </c>
      <c r="P1" s="21" t="s">
        <v>1283</v>
      </c>
      <c r="S1" t="s">
        <v>1295</v>
      </c>
    </row>
    <row r="2" spans="1:19" x14ac:dyDescent="0.3">
      <c r="A2" s="129" t="s">
        <v>576</v>
      </c>
      <c r="B2" s="129" t="s">
        <v>577</v>
      </c>
      <c r="C2" s="129" t="s">
        <v>114</v>
      </c>
      <c r="D2" s="129" t="s">
        <v>578</v>
      </c>
      <c r="E2" s="130">
        <v>356747116811213</v>
      </c>
      <c r="F2" s="129" t="s">
        <v>573</v>
      </c>
      <c r="G2" s="129" t="s">
        <v>574</v>
      </c>
      <c r="H2" s="129" t="s">
        <v>548</v>
      </c>
      <c r="I2" s="129" t="s">
        <v>549</v>
      </c>
      <c r="J2" s="129" t="s">
        <v>550</v>
      </c>
      <c r="K2" s="131">
        <v>45658</v>
      </c>
      <c r="L2" s="131">
        <v>45717</v>
      </c>
      <c r="M2" s="129" t="s">
        <v>551</v>
      </c>
      <c r="N2" s="129" t="s">
        <v>1280</v>
      </c>
      <c r="O2" s="133">
        <v>0</v>
      </c>
      <c r="P2" s="129" t="s">
        <v>1287</v>
      </c>
      <c r="Q2" s="129"/>
      <c r="R2" s="21"/>
    </row>
    <row r="3" spans="1:19" x14ac:dyDescent="0.3">
      <c r="A3" s="129" t="s">
        <v>584</v>
      </c>
      <c r="B3" s="129" t="s">
        <v>577</v>
      </c>
      <c r="C3" s="129" t="s">
        <v>585</v>
      </c>
      <c r="D3" s="129" t="s">
        <v>586</v>
      </c>
      <c r="E3" s="130">
        <v>355978840919284</v>
      </c>
      <c r="F3" s="129" t="s">
        <v>587</v>
      </c>
      <c r="G3" s="129" t="s">
        <v>588</v>
      </c>
      <c r="H3" s="129" t="s">
        <v>589</v>
      </c>
      <c r="I3" s="129" t="s">
        <v>590</v>
      </c>
      <c r="J3" s="129" t="s">
        <v>550</v>
      </c>
      <c r="K3" s="131">
        <v>45658</v>
      </c>
      <c r="L3" s="131">
        <v>45717</v>
      </c>
      <c r="M3" s="129" t="s">
        <v>551</v>
      </c>
      <c r="N3" s="129"/>
      <c r="O3" s="133"/>
      <c r="P3" s="129"/>
      <c r="Q3" s="129"/>
      <c r="R3" s="21"/>
    </row>
    <row r="4" spans="1:19" x14ac:dyDescent="0.3">
      <c r="A4" s="129" t="s">
        <v>614</v>
      </c>
      <c r="B4" s="129" t="s">
        <v>577</v>
      </c>
      <c r="C4" s="129" t="s">
        <v>585</v>
      </c>
      <c r="D4" s="129" t="s">
        <v>586</v>
      </c>
      <c r="E4" s="130">
        <v>355978840948754</v>
      </c>
      <c r="F4" s="129" t="s">
        <v>615</v>
      </c>
      <c r="G4" s="129" t="s">
        <v>616</v>
      </c>
      <c r="H4" s="129" t="s">
        <v>589</v>
      </c>
      <c r="I4" s="129" t="s">
        <v>617</v>
      </c>
      <c r="J4" s="129" t="s">
        <v>550</v>
      </c>
      <c r="K4" s="131">
        <v>45658</v>
      </c>
      <c r="L4" s="131">
        <v>45717</v>
      </c>
      <c r="M4" s="129" t="s">
        <v>551</v>
      </c>
      <c r="N4" s="129"/>
      <c r="O4" s="133"/>
      <c r="P4" s="129"/>
      <c r="Q4" s="129"/>
      <c r="R4" s="21"/>
    </row>
    <row r="5" spans="1:19" x14ac:dyDescent="0.3">
      <c r="A5" s="129" t="s">
        <v>621</v>
      </c>
      <c r="B5" s="129" t="s">
        <v>577</v>
      </c>
      <c r="C5" s="129" t="s">
        <v>585</v>
      </c>
      <c r="D5" s="129" t="s">
        <v>586</v>
      </c>
      <c r="E5" s="130">
        <v>355978840949059</v>
      </c>
      <c r="F5" s="129" t="s">
        <v>622</v>
      </c>
      <c r="G5" s="129" t="s">
        <v>623</v>
      </c>
      <c r="H5" s="129" t="s">
        <v>589</v>
      </c>
      <c r="I5" s="129" t="s">
        <v>624</v>
      </c>
      <c r="J5" s="129" t="s">
        <v>550</v>
      </c>
      <c r="K5" s="131">
        <v>45762</v>
      </c>
      <c r="L5" s="131">
        <v>45762</v>
      </c>
      <c r="M5" s="129" t="s">
        <v>551</v>
      </c>
      <c r="N5" s="129"/>
      <c r="O5" s="133">
        <v>0</v>
      </c>
      <c r="P5" s="129" t="s">
        <v>1287</v>
      </c>
      <c r="Q5" s="129"/>
      <c r="R5" s="21" t="s">
        <v>1288</v>
      </c>
    </row>
    <row r="6" spans="1:19" x14ac:dyDescent="0.3">
      <c r="A6" s="129" t="s">
        <v>636</v>
      </c>
      <c r="B6" s="129" t="s">
        <v>577</v>
      </c>
      <c r="C6" s="129" t="s">
        <v>114</v>
      </c>
      <c r="D6" s="129" t="s">
        <v>578</v>
      </c>
      <c r="E6" s="130">
        <v>356749110441328</v>
      </c>
      <c r="F6" s="129" t="s">
        <v>634</v>
      </c>
      <c r="G6" s="129" t="s">
        <v>632</v>
      </c>
      <c r="H6" s="129" t="s">
        <v>589</v>
      </c>
      <c r="I6" s="129" t="s">
        <v>617</v>
      </c>
      <c r="J6" s="129" t="s">
        <v>550</v>
      </c>
      <c r="K6" s="131">
        <v>45658</v>
      </c>
      <c r="L6" s="131">
        <v>45717</v>
      </c>
      <c r="M6" s="129" t="s">
        <v>551</v>
      </c>
      <c r="N6" s="129"/>
      <c r="O6" s="133">
        <v>0</v>
      </c>
      <c r="P6" s="129" t="s">
        <v>1287</v>
      </c>
      <c r="Q6" s="129"/>
      <c r="R6" s="129"/>
    </row>
    <row r="7" spans="1:19" x14ac:dyDescent="0.3">
      <c r="A7" s="129" t="s">
        <v>641</v>
      </c>
      <c r="B7" s="129" t="s">
        <v>577</v>
      </c>
      <c r="C7" s="129" t="s">
        <v>114</v>
      </c>
      <c r="D7" s="129" t="s">
        <v>578</v>
      </c>
      <c r="E7" s="130">
        <v>356747112510629</v>
      </c>
      <c r="F7" s="129" t="s">
        <v>638</v>
      </c>
      <c r="G7" s="129" t="s">
        <v>639</v>
      </c>
      <c r="H7" s="129" t="s">
        <v>589</v>
      </c>
      <c r="I7" s="129" t="s">
        <v>549</v>
      </c>
      <c r="J7" s="129" t="s">
        <v>550</v>
      </c>
      <c r="K7" s="131">
        <v>45658</v>
      </c>
      <c r="L7" s="131">
        <v>45717</v>
      </c>
      <c r="M7" s="129" t="s">
        <v>551</v>
      </c>
      <c r="N7" s="129"/>
      <c r="O7" s="133"/>
      <c r="P7" s="129"/>
      <c r="Q7" s="129"/>
      <c r="R7" s="129"/>
    </row>
    <row r="8" spans="1:19" x14ac:dyDescent="0.3">
      <c r="A8" s="129" t="s">
        <v>656</v>
      </c>
      <c r="B8" s="129" t="s">
        <v>577</v>
      </c>
      <c r="C8" s="129" t="s">
        <v>114</v>
      </c>
      <c r="D8" s="129" t="s">
        <v>657</v>
      </c>
      <c r="E8" s="130">
        <v>359455081195458</v>
      </c>
      <c r="F8" s="129" t="s">
        <v>654</v>
      </c>
      <c r="G8" s="129" t="s">
        <v>632</v>
      </c>
      <c r="H8" s="129" t="s">
        <v>589</v>
      </c>
      <c r="I8" s="129" t="s">
        <v>617</v>
      </c>
      <c r="J8" s="129" t="s">
        <v>550</v>
      </c>
      <c r="K8" s="131">
        <v>45658</v>
      </c>
      <c r="L8" s="131">
        <v>45717</v>
      </c>
      <c r="M8" s="129" t="s">
        <v>551</v>
      </c>
      <c r="N8" s="129"/>
      <c r="O8" s="133">
        <v>0</v>
      </c>
      <c r="P8" s="129" t="s">
        <v>1287</v>
      </c>
      <c r="Q8" s="129"/>
      <c r="R8" s="129"/>
    </row>
    <row r="9" spans="1:19" x14ac:dyDescent="0.3">
      <c r="A9" s="129" t="s">
        <v>665</v>
      </c>
      <c r="B9" s="129" t="s">
        <v>577</v>
      </c>
      <c r="C9" s="129" t="s">
        <v>114</v>
      </c>
      <c r="D9" s="129" t="s">
        <v>666</v>
      </c>
      <c r="E9" s="130">
        <v>353036091434008</v>
      </c>
      <c r="F9" s="129" t="s">
        <v>663</v>
      </c>
      <c r="G9" s="129" t="s">
        <v>660</v>
      </c>
      <c r="H9" s="129" t="s">
        <v>600</v>
      </c>
      <c r="I9" s="129" t="s">
        <v>624</v>
      </c>
      <c r="J9" s="129" t="s">
        <v>550</v>
      </c>
      <c r="K9" s="131">
        <v>45658</v>
      </c>
      <c r="L9" s="131">
        <v>45717</v>
      </c>
      <c r="M9" s="129" t="s">
        <v>551</v>
      </c>
      <c r="N9" s="129"/>
      <c r="O9" s="133"/>
      <c r="P9" s="129"/>
      <c r="Q9" s="129"/>
      <c r="R9" s="129"/>
    </row>
    <row r="10" spans="1:19" x14ac:dyDescent="0.3">
      <c r="A10" s="129" t="s">
        <v>684</v>
      </c>
      <c r="B10" s="129" t="s">
        <v>577</v>
      </c>
      <c r="C10" s="129" t="s">
        <v>114</v>
      </c>
      <c r="D10" s="129" t="s">
        <v>578</v>
      </c>
      <c r="E10" s="130">
        <v>356747116798246</v>
      </c>
      <c r="F10" s="129" t="s">
        <v>682</v>
      </c>
      <c r="G10" s="129" t="s">
        <v>639</v>
      </c>
      <c r="H10" s="129" t="s">
        <v>589</v>
      </c>
      <c r="I10" s="129" t="s">
        <v>549</v>
      </c>
      <c r="J10" s="129" t="s">
        <v>550</v>
      </c>
      <c r="K10" s="131">
        <v>45658</v>
      </c>
      <c r="L10" s="131">
        <v>45717</v>
      </c>
      <c r="M10" s="129" t="s">
        <v>551</v>
      </c>
      <c r="N10" s="129"/>
      <c r="O10" s="133">
        <v>0</v>
      </c>
      <c r="P10" s="129" t="s">
        <v>1284</v>
      </c>
      <c r="Q10" s="129"/>
      <c r="R10" s="129"/>
    </row>
    <row r="11" spans="1:19" x14ac:dyDescent="0.3">
      <c r="A11" s="129" t="s">
        <v>686</v>
      </c>
      <c r="B11" s="129" t="s">
        <v>577</v>
      </c>
      <c r="C11" s="129" t="s">
        <v>114</v>
      </c>
      <c r="D11" s="129" t="s">
        <v>578</v>
      </c>
      <c r="E11" s="130">
        <v>356747116975323</v>
      </c>
      <c r="F11" s="129" t="s">
        <v>687</v>
      </c>
      <c r="G11" s="129" t="s">
        <v>660</v>
      </c>
      <c r="H11" s="129" t="s">
        <v>589</v>
      </c>
      <c r="I11" s="129" t="s">
        <v>624</v>
      </c>
      <c r="J11" s="129" t="s">
        <v>550</v>
      </c>
      <c r="K11" s="131">
        <v>45658</v>
      </c>
      <c r="L11" s="131">
        <v>45717</v>
      </c>
      <c r="M11" s="129" t="s">
        <v>551</v>
      </c>
      <c r="N11" s="129"/>
      <c r="O11" s="133"/>
      <c r="P11" s="129"/>
      <c r="Q11" s="129"/>
      <c r="R11" s="21"/>
    </row>
    <row r="12" spans="1:19" x14ac:dyDescent="0.3">
      <c r="A12" s="129" t="s">
        <v>709</v>
      </c>
      <c r="B12" s="129" t="s">
        <v>577</v>
      </c>
      <c r="C12" s="129" t="s">
        <v>114</v>
      </c>
      <c r="D12" s="129" t="s">
        <v>696</v>
      </c>
      <c r="E12" s="130">
        <v>357652533500689</v>
      </c>
      <c r="F12" s="129" t="s">
        <v>710</v>
      </c>
      <c r="G12" s="129" t="s">
        <v>639</v>
      </c>
      <c r="H12" s="129" t="s">
        <v>600</v>
      </c>
      <c r="I12" s="129" t="s">
        <v>549</v>
      </c>
      <c r="J12" s="129" t="s">
        <v>550</v>
      </c>
      <c r="K12" s="131">
        <v>45658</v>
      </c>
      <c r="L12" s="131">
        <v>45717</v>
      </c>
      <c r="M12" s="129" t="s">
        <v>551</v>
      </c>
      <c r="N12" s="129"/>
      <c r="O12" s="133">
        <v>0</v>
      </c>
      <c r="P12" s="129" t="s">
        <v>1287</v>
      </c>
      <c r="Q12" s="129"/>
      <c r="R12" s="21"/>
    </row>
    <row r="13" spans="1:19" x14ac:dyDescent="0.3">
      <c r="A13" s="129" t="s">
        <v>720</v>
      </c>
      <c r="B13" s="129" t="s">
        <v>577</v>
      </c>
      <c r="C13" s="129" t="s">
        <v>114</v>
      </c>
      <c r="D13" s="129" t="s">
        <v>696</v>
      </c>
      <c r="E13" s="130">
        <v>359552540047567</v>
      </c>
      <c r="F13" s="129" t="s">
        <v>718</v>
      </c>
      <c r="G13" s="129" t="s">
        <v>644</v>
      </c>
      <c r="H13" s="129" t="s">
        <v>589</v>
      </c>
      <c r="I13" s="129" t="s">
        <v>590</v>
      </c>
      <c r="J13" s="129" t="s">
        <v>550</v>
      </c>
      <c r="K13" s="131">
        <v>45658</v>
      </c>
      <c r="L13" s="131">
        <v>45717</v>
      </c>
      <c r="M13" s="129" t="s">
        <v>551</v>
      </c>
      <c r="N13" s="129"/>
      <c r="O13" s="133">
        <v>0</v>
      </c>
      <c r="P13" s="129" t="s">
        <v>1287</v>
      </c>
      <c r="Q13" s="129"/>
      <c r="R13" s="21"/>
    </row>
    <row r="14" spans="1:19" x14ac:dyDescent="0.3">
      <c r="A14" s="129" t="s">
        <v>725</v>
      </c>
      <c r="B14" s="129" t="s">
        <v>577</v>
      </c>
      <c r="C14" s="129" t="s">
        <v>114</v>
      </c>
      <c r="D14" s="129" t="s">
        <v>578</v>
      </c>
      <c r="E14" s="130">
        <v>356750112980248</v>
      </c>
      <c r="F14" s="129" t="s">
        <v>726</v>
      </c>
      <c r="G14" s="129" t="s">
        <v>639</v>
      </c>
      <c r="H14" s="129" t="s">
        <v>589</v>
      </c>
      <c r="I14" s="129" t="s">
        <v>549</v>
      </c>
      <c r="J14" s="129" t="s">
        <v>550</v>
      </c>
      <c r="K14" s="131">
        <v>45658</v>
      </c>
      <c r="L14" s="131">
        <v>45717</v>
      </c>
      <c r="M14" s="129" t="s">
        <v>551</v>
      </c>
      <c r="N14" s="129"/>
      <c r="O14" s="133">
        <v>0</v>
      </c>
      <c r="P14" s="129" t="s">
        <v>1289</v>
      </c>
      <c r="Q14" s="129"/>
      <c r="R14" s="21"/>
    </row>
    <row r="15" spans="1:19" x14ac:dyDescent="0.3">
      <c r="A15" s="145" t="s">
        <v>735</v>
      </c>
      <c r="B15" s="145" t="s">
        <v>577</v>
      </c>
      <c r="C15" s="145" t="s">
        <v>114</v>
      </c>
      <c r="D15" s="145" t="s">
        <v>736</v>
      </c>
      <c r="E15" s="146">
        <v>354887094162445</v>
      </c>
      <c r="F15" s="145" t="s">
        <v>733</v>
      </c>
      <c r="G15" s="145" t="s">
        <v>660</v>
      </c>
      <c r="H15" s="145" t="s">
        <v>589</v>
      </c>
      <c r="I15" s="145" t="s">
        <v>624</v>
      </c>
      <c r="J15" s="145" t="s">
        <v>550</v>
      </c>
      <c r="K15" s="147">
        <v>45658</v>
      </c>
      <c r="L15" s="147">
        <v>45717</v>
      </c>
      <c r="M15" s="145" t="s">
        <v>551</v>
      </c>
      <c r="N15" s="145"/>
      <c r="O15" s="148">
        <v>0</v>
      </c>
      <c r="P15" s="145" t="s">
        <v>1287</v>
      </c>
      <c r="Q15" s="145"/>
      <c r="R15" s="21"/>
    </row>
    <row r="16" spans="1:19" x14ac:dyDescent="0.3">
      <c r="A16" s="129" t="s">
        <v>758</v>
      </c>
      <c r="B16" s="129" t="s">
        <v>577</v>
      </c>
      <c r="C16" s="129" t="s">
        <v>114</v>
      </c>
      <c r="D16" s="129" t="s">
        <v>696</v>
      </c>
      <c r="E16" s="130">
        <v>350698362572957</v>
      </c>
      <c r="F16" s="129" t="s">
        <v>759</v>
      </c>
      <c r="G16" s="129" t="s">
        <v>632</v>
      </c>
      <c r="H16" s="129" t="s">
        <v>589</v>
      </c>
      <c r="I16" s="129" t="s">
        <v>617</v>
      </c>
      <c r="J16" s="129" t="s">
        <v>550</v>
      </c>
      <c r="K16" s="131">
        <v>45658</v>
      </c>
      <c r="L16" s="131">
        <v>45717</v>
      </c>
      <c r="M16" s="129" t="s">
        <v>551</v>
      </c>
      <c r="N16" s="129"/>
      <c r="O16" s="133"/>
      <c r="P16" s="129"/>
      <c r="Q16" s="129"/>
      <c r="R16" s="21"/>
    </row>
    <row r="17" spans="1:18" x14ac:dyDescent="0.3">
      <c r="A17" s="129" t="s">
        <v>766</v>
      </c>
      <c r="B17" s="129" t="s">
        <v>577</v>
      </c>
      <c r="C17" s="129" t="s">
        <v>191</v>
      </c>
      <c r="D17" s="129" t="s">
        <v>767</v>
      </c>
      <c r="E17" s="130">
        <v>351001682973048</v>
      </c>
      <c r="F17" s="129" t="s">
        <v>768</v>
      </c>
      <c r="G17" s="129" t="s">
        <v>639</v>
      </c>
      <c r="H17" s="129" t="s">
        <v>589</v>
      </c>
      <c r="I17" s="129" t="s">
        <v>549</v>
      </c>
      <c r="J17" s="129" t="s">
        <v>550</v>
      </c>
      <c r="K17" s="131">
        <v>45658</v>
      </c>
      <c r="L17" s="131">
        <v>45717</v>
      </c>
      <c r="M17" s="129" t="s">
        <v>551</v>
      </c>
      <c r="N17" s="129"/>
      <c r="O17" s="133"/>
      <c r="P17" s="129"/>
      <c r="Q17" s="129"/>
      <c r="R17" s="21"/>
    </row>
    <row r="18" spans="1:18" x14ac:dyDescent="0.3">
      <c r="A18" s="129" t="s">
        <v>770</v>
      </c>
      <c r="B18" s="129" t="s">
        <v>577</v>
      </c>
      <c r="C18" s="129" t="s">
        <v>114</v>
      </c>
      <c r="D18" s="129" t="s">
        <v>696</v>
      </c>
      <c r="E18" s="130">
        <v>357883402125478</v>
      </c>
      <c r="F18" s="129" t="s">
        <v>768</v>
      </c>
      <c r="G18" s="129" t="s">
        <v>639</v>
      </c>
      <c r="H18" s="129" t="s">
        <v>589</v>
      </c>
      <c r="I18" s="129" t="s">
        <v>549</v>
      </c>
      <c r="J18" s="129" t="s">
        <v>550</v>
      </c>
      <c r="K18" s="131">
        <v>45658</v>
      </c>
      <c r="L18" s="131">
        <v>45717</v>
      </c>
      <c r="M18" s="129" t="s">
        <v>551</v>
      </c>
      <c r="N18" s="129" t="s">
        <v>1280</v>
      </c>
      <c r="O18" s="133">
        <v>0</v>
      </c>
      <c r="P18" s="129" t="s">
        <v>1284</v>
      </c>
      <c r="Q18" s="129"/>
      <c r="R18" s="21"/>
    </row>
    <row r="19" spans="1:18" x14ac:dyDescent="0.3">
      <c r="A19" s="129" t="s">
        <v>779</v>
      </c>
      <c r="B19" s="129" t="s">
        <v>577</v>
      </c>
      <c r="C19" s="129" t="s">
        <v>585</v>
      </c>
      <c r="D19" s="129" t="s">
        <v>586</v>
      </c>
      <c r="E19" s="130">
        <v>355978840939803</v>
      </c>
      <c r="F19" s="129" t="s">
        <v>777</v>
      </c>
      <c r="G19" s="129" t="s">
        <v>639</v>
      </c>
      <c r="H19" s="129" t="s">
        <v>589</v>
      </c>
      <c r="I19" s="129" t="s">
        <v>549</v>
      </c>
      <c r="J19" s="129" t="s">
        <v>550</v>
      </c>
      <c r="K19" s="131">
        <v>45658</v>
      </c>
      <c r="L19" s="131">
        <v>45717</v>
      </c>
      <c r="M19" s="129" t="s">
        <v>551</v>
      </c>
      <c r="N19" s="129"/>
      <c r="O19" s="133">
        <v>9</v>
      </c>
      <c r="P19" s="129" t="s">
        <v>1287</v>
      </c>
      <c r="Q19" s="129"/>
      <c r="R19" s="21"/>
    </row>
    <row r="20" spans="1:18" x14ac:dyDescent="0.3">
      <c r="A20" s="129" t="s">
        <v>787</v>
      </c>
      <c r="B20" s="129" t="s">
        <v>577</v>
      </c>
      <c r="C20" s="129" t="s">
        <v>585</v>
      </c>
      <c r="D20" s="129" t="s">
        <v>586</v>
      </c>
      <c r="E20" s="130">
        <v>355978840923146</v>
      </c>
      <c r="F20" s="129" t="s">
        <v>788</v>
      </c>
      <c r="G20" s="129" t="s">
        <v>582</v>
      </c>
      <c r="H20" s="129" t="s">
        <v>589</v>
      </c>
      <c r="I20" s="129" t="s">
        <v>549</v>
      </c>
      <c r="J20" s="129" t="s">
        <v>550</v>
      </c>
      <c r="K20" s="131">
        <v>45658</v>
      </c>
      <c r="L20" s="131">
        <v>45717</v>
      </c>
      <c r="M20" s="129" t="s">
        <v>551</v>
      </c>
      <c r="N20" s="129" t="s">
        <v>1280</v>
      </c>
      <c r="O20" s="133">
        <v>0</v>
      </c>
      <c r="P20" s="129" t="s">
        <v>1284</v>
      </c>
      <c r="Q20" s="129"/>
      <c r="R20" s="21"/>
    </row>
    <row r="21" spans="1:18" x14ac:dyDescent="0.3">
      <c r="A21" s="129" t="s">
        <v>798</v>
      </c>
      <c r="B21" s="129" t="s">
        <v>577</v>
      </c>
      <c r="C21" s="129" t="s">
        <v>114</v>
      </c>
      <c r="D21" s="129" t="s">
        <v>799</v>
      </c>
      <c r="E21" s="130">
        <v>353205104482748</v>
      </c>
      <c r="F21" s="129" t="s">
        <v>731</v>
      </c>
      <c r="G21" s="129" t="s">
        <v>639</v>
      </c>
      <c r="H21" s="129" t="s">
        <v>600</v>
      </c>
      <c r="I21" s="129" t="s">
        <v>549</v>
      </c>
      <c r="J21" s="129" t="s">
        <v>550</v>
      </c>
      <c r="K21" s="131">
        <v>45658</v>
      </c>
      <c r="L21" s="131">
        <v>45717</v>
      </c>
      <c r="M21" s="129" t="s">
        <v>551</v>
      </c>
      <c r="N21" s="129"/>
      <c r="O21" s="133"/>
      <c r="P21" s="129"/>
      <c r="Q21" s="129"/>
      <c r="R21" s="21"/>
    </row>
    <row r="22" spans="1:18" x14ac:dyDescent="0.3">
      <c r="A22" s="129" t="s">
        <v>807</v>
      </c>
      <c r="B22" s="129" t="s">
        <v>577</v>
      </c>
      <c r="C22" s="129" t="s">
        <v>585</v>
      </c>
      <c r="D22" s="129" t="s">
        <v>586</v>
      </c>
      <c r="E22" s="130">
        <v>355978840945222</v>
      </c>
      <c r="F22" s="129" t="s">
        <v>808</v>
      </c>
      <c r="G22" s="129" t="s">
        <v>616</v>
      </c>
      <c r="H22" s="129" t="s">
        <v>589</v>
      </c>
      <c r="I22" s="129" t="s">
        <v>617</v>
      </c>
      <c r="J22" s="129" t="s">
        <v>550</v>
      </c>
      <c r="K22" s="131">
        <v>45658</v>
      </c>
      <c r="L22" s="131">
        <v>45717</v>
      </c>
      <c r="M22" s="129" t="s">
        <v>551</v>
      </c>
      <c r="N22" s="129" t="s">
        <v>809</v>
      </c>
      <c r="O22" s="133">
        <v>0</v>
      </c>
      <c r="P22" s="129" t="s">
        <v>1284</v>
      </c>
      <c r="Q22" s="129"/>
      <c r="R22" s="21"/>
    </row>
    <row r="23" spans="1:18" x14ac:dyDescent="0.3">
      <c r="A23" s="129" t="s">
        <v>855</v>
      </c>
      <c r="B23" s="129" t="s">
        <v>577</v>
      </c>
      <c r="C23" s="150" t="s">
        <v>191</v>
      </c>
      <c r="D23" s="150" t="s">
        <v>630</v>
      </c>
      <c r="E23" s="130">
        <v>358091652066132</v>
      </c>
      <c r="F23" s="129" t="s">
        <v>856</v>
      </c>
      <c r="G23" s="129" t="s">
        <v>632</v>
      </c>
      <c r="H23" s="129" t="s">
        <v>589</v>
      </c>
      <c r="I23" s="129" t="s">
        <v>617</v>
      </c>
      <c r="J23" s="129" t="s">
        <v>550</v>
      </c>
      <c r="K23" s="131">
        <v>45658</v>
      </c>
      <c r="L23" s="131">
        <v>45717</v>
      </c>
      <c r="M23" s="129" t="s">
        <v>551</v>
      </c>
      <c r="N23" s="129"/>
      <c r="O23" s="133"/>
      <c r="P23" s="21"/>
      <c r="Q23" s="21"/>
      <c r="R23" s="21"/>
    </row>
    <row r="24" spans="1:18" ht="15.6" x14ac:dyDescent="0.3">
      <c r="A24" s="129" t="s">
        <v>1277</v>
      </c>
      <c r="B24" s="129" t="s">
        <v>577</v>
      </c>
      <c r="C24" s="129"/>
      <c r="D24" s="149" t="s">
        <v>879</v>
      </c>
      <c r="E24" s="130"/>
      <c r="F24" s="129" t="s">
        <v>1278</v>
      </c>
      <c r="G24" s="129"/>
      <c r="H24" s="129"/>
      <c r="I24" s="129"/>
      <c r="J24" s="129"/>
      <c r="K24" s="129"/>
      <c r="L24" s="129"/>
      <c r="M24" s="129"/>
      <c r="N24" s="129" t="s">
        <v>1280</v>
      </c>
      <c r="O24" s="133">
        <v>0</v>
      </c>
      <c r="P24" s="129"/>
      <c r="Q24" s="21"/>
      <c r="R24" s="21"/>
    </row>
    <row r="25" spans="1:18" x14ac:dyDescent="0.3">
      <c r="A25" s="69" t="s">
        <v>646</v>
      </c>
      <c r="B25" s="69" t="s">
        <v>577</v>
      </c>
      <c r="C25" s="69" t="s">
        <v>114</v>
      </c>
      <c r="D25" s="69" t="s">
        <v>647</v>
      </c>
      <c r="E25" s="138">
        <v>355939971952932</v>
      </c>
      <c r="F25" s="69" t="s">
        <v>643</v>
      </c>
      <c r="G25" s="69" t="s">
        <v>644</v>
      </c>
      <c r="H25" s="69" t="s">
        <v>589</v>
      </c>
      <c r="I25" s="69" t="s">
        <v>590</v>
      </c>
      <c r="J25" s="69" t="s">
        <v>550</v>
      </c>
      <c r="K25" s="139">
        <v>45658</v>
      </c>
      <c r="L25" s="139">
        <v>45717</v>
      </c>
      <c r="M25" s="69" t="s">
        <v>551</v>
      </c>
      <c r="N25" s="69" t="s">
        <v>1280</v>
      </c>
      <c r="O25" s="140">
        <v>0</v>
      </c>
      <c r="P25" s="69" t="s">
        <v>1287</v>
      </c>
      <c r="Q25" s="69" t="s">
        <v>1281</v>
      </c>
    </row>
    <row r="26" spans="1:18" x14ac:dyDescent="0.3">
      <c r="A26" s="69" t="s">
        <v>695</v>
      </c>
      <c r="B26" s="69" t="s">
        <v>577</v>
      </c>
      <c r="C26" s="69" t="s">
        <v>114</v>
      </c>
      <c r="D26" s="69" t="s">
        <v>696</v>
      </c>
      <c r="E26" s="138">
        <v>355254195678622</v>
      </c>
      <c r="F26" s="69" t="s">
        <v>693</v>
      </c>
      <c r="G26" s="69" t="s">
        <v>632</v>
      </c>
      <c r="H26" s="69" t="s">
        <v>589</v>
      </c>
      <c r="I26" s="69" t="s">
        <v>617</v>
      </c>
      <c r="J26" s="69" t="s">
        <v>1025</v>
      </c>
      <c r="K26" s="139">
        <v>45658</v>
      </c>
      <c r="L26" s="139">
        <v>45717</v>
      </c>
      <c r="M26" s="69" t="s">
        <v>551</v>
      </c>
      <c r="N26" s="69" t="s">
        <v>1044</v>
      </c>
      <c r="O26" s="140"/>
      <c r="P26" s="69"/>
      <c r="Q26" s="69"/>
    </row>
    <row r="27" spans="1:18" x14ac:dyDescent="0.3">
      <c r="A27" s="69" t="s">
        <v>795</v>
      </c>
      <c r="B27" s="69" t="s">
        <v>577</v>
      </c>
      <c r="C27" s="69" t="s">
        <v>585</v>
      </c>
      <c r="D27" s="69" t="s">
        <v>586</v>
      </c>
      <c r="E27" s="138">
        <v>355978840939845</v>
      </c>
      <c r="F27" s="69" t="s">
        <v>796</v>
      </c>
      <c r="G27" s="69" t="s">
        <v>597</v>
      </c>
      <c r="H27" s="69" t="s">
        <v>589</v>
      </c>
      <c r="I27" s="69" t="s">
        <v>549</v>
      </c>
      <c r="J27" s="69" t="s">
        <v>550</v>
      </c>
      <c r="K27" s="139">
        <v>45658</v>
      </c>
      <c r="L27" s="139">
        <v>45717</v>
      </c>
      <c r="M27" s="69" t="s">
        <v>551</v>
      </c>
      <c r="N27" s="69" t="s">
        <v>797</v>
      </c>
      <c r="O27" s="140"/>
      <c r="P27" s="69"/>
      <c r="Q27" s="69"/>
    </row>
    <row r="28" spans="1:18" x14ac:dyDescent="0.3">
      <c r="A28" s="69" t="s">
        <v>810</v>
      </c>
      <c r="B28" s="69" t="s">
        <v>577</v>
      </c>
      <c r="C28" s="69" t="s">
        <v>114</v>
      </c>
      <c r="D28" s="69" t="s">
        <v>696</v>
      </c>
      <c r="E28" s="138">
        <v>350698362550466</v>
      </c>
      <c r="F28" s="69" t="s">
        <v>631</v>
      </c>
      <c r="G28" s="69" t="s">
        <v>632</v>
      </c>
      <c r="H28" s="69" t="s">
        <v>589</v>
      </c>
      <c r="I28" s="69" t="s">
        <v>617</v>
      </c>
      <c r="J28" s="69" t="s">
        <v>550</v>
      </c>
      <c r="K28" s="139">
        <v>45658</v>
      </c>
      <c r="L28" s="139">
        <v>45717</v>
      </c>
      <c r="M28" s="69" t="s">
        <v>551</v>
      </c>
      <c r="N28" s="69" t="s">
        <v>811</v>
      </c>
      <c r="O28" s="140">
        <v>0</v>
      </c>
      <c r="P28" s="69" t="s">
        <v>1284</v>
      </c>
      <c r="Q28" s="69" t="s">
        <v>1281</v>
      </c>
    </row>
    <row r="29" spans="1:18" x14ac:dyDescent="0.3">
      <c r="A29" s="69" t="s">
        <v>814</v>
      </c>
      <c r="B29" s="69" t="s">
        <v>577</v>
      </c>
      <c r="C29" s="69" t="s">
        <v>114</v>
      </c>
      <c r="D29" s="69" t="s">
        <v>799</v>
      </c>
      <c r="E29" s="138">
        <v>353204105703897</v>
      </c>
      <c r="F29" s="69" t="s">
        <v>673</v>
      </c>
      <c r="G29" s="69" t="s">
        <v>644</v>
      </c>
      <c r="H29" s="69" t="s">
        <v>600</v>
      </c>
      <c r="I29" s="69" t="s">
        <v>590</v>
      </c>
      <c r="J29" s="69" t="s">
        <v>550</v>
      </c>
      <c r="K29" s="139">
        <v>45658</v>
      </c>
      <c r="L29" s="139">
        <v>45717</v>
      </c>
      <c r="M29" s="69" t="s">
        <v>551</v>
      </c>
      <c r="N29" s="69"/>
      <c r="O29" s="140"/>
      <c r="P29" s="69" t="s">
        <v>1287</v>
      </c>
      <c r="Q29" s="69"/>
    </row>
    <row r="30" spans="1:18" x14ac:dyDescent="0.3">
      <c r="A30" s="69" t="s">
        <v>818</v>
      </c>
      <c r="B30" s="69" t="s">
        <v>577</v>
      </c>
      <c r="C30" s="69" t="s">
        <v>114</v>
      </c>
      <c r="D30" s="69" t="s">
        <v>819</v>
      </c>
      <c r="E30" s="138">
        <v>359552541123334</v>
      </c>
      <c r="F30" s="69" t="s">
        <v>817</v>
      </c>
      <c r="G30" s="69" t="s">
        <v>644</v>
      </c>
      <c r="H30" s="69" t="s">
        <v>589</v>
      </c>
      <c r="I30" s="69" t="s">
        <v>590</v>
      </c>
      <c r="J30" s="69" t="s">
        <v>550</v>
      </c>
      <c r="K30" s="139">
        <v>45658</v>
      </c>
      <c r="L30" s="139">
        <v>45717</v>
      </c>
      <c r="M30" s="69" t="s">
        <v>551</v>
      </c>
      <c r="N30" s="69" t="s">
        <v>1280</v>
      </c>
      <c r="O30" s="140">
        <v>0</v>
      </c>
      <c r="P30" s="69" t="s">
        <v>1287</v>
      </c>
      <c r="Q30" s="69" t="s">
        <v>1291</v>
      </c>
    </row>
    <row r="31" spans="1:18" x14ac:dyDescent="0.3">
      <c r="A31" s="69" t="s">
        <v>829</v>
      </c>
      <c r="B31" s="69" t="s">
        <v>577</v>
      </c>
      <c r="C31" s="69" t="s">
        <v>114</v>
      </c>
      <c r="D31" s="69" t="s">
        <v>830</v>
      </c>
      <c r="E31" s="138">
        <v>356750111840153</v>
      </c>
      <c r="F31" s="69" t="s">
        <v>738</v>
      </c>
      <c r="G31" s="69" t="s">
        <v>639</v>
      </c>
      <c r="H31" s="69" t="s">
        <v>589</v>
      </c>
      <c r="I31" s="69" t="s">
        <v>549</v>
      </c>
      <c r="J31" s="69" t="s">
        <v>550</v>
      </c>
      <c r="K31" s="139">
        <v>45658</v>
      </c>
      <c r="L31" s="139">
        <v>45717</v>
      </c>
      <c r="M31" s="69" t="s">
        <v>551</v>
      </c>
      <c r="N31" s="69" t="s">
        <v>827</v>
      </c>
      <c r="O31" s="140"/>
      <c r="P31" s="69"/>
      <c r="Q31" s="21" t="s">
        <v>1292</v>
      </c>
    </row>
    <row r="32" spans="1:18" x14ac:dyDescent="0.3">
      <c r="A32" s="69" t="s">
        <v>243</v>
      </c>
      <c r="B32" s="69" t="s">
        <v>577</v>
      </c>
      <c r="C32" s="69" t="s">
        <v>585</v>
      </c>
      <c r="D32" s="69" t="s">
        <v>586</v>
      </c>
      <c r="E32" s="138">
        <v>355978840924771</v>
      </c>
      <c r="F32" s="69" t="s">
        <v>840</v>
      </c>
      <c r="G32" s="69" t="s">
        <v>597</v>
      </c>
      <c r="H32" s="69" t="s">
        <v>589</v>
      </c>
      <c r="I32" s="69" t="s">
        <v>549</v>
      </c>
      <c r="J32" s="69" t="s">
        <v>550</v>
      </c>
      <c r="K32" s="139">
        <v>45658</v>
      </c>
      <c r="L32" s="139">
        <v>45717</v>
      </c>
      <c r="M32" s="69" t="s">
        <v>551</v>
      </c>
      <c r="N32" s="69"/>
      <c r="O32" s="140">
        <v>0</v>
      </c>
      <c r="P32" s="69" t="s">
        <v>1287</v>
      </c>
      <c r="Q32" s="69"/>
    </row>
    <row r="33" spans="1:17" x14ac:dyDescent="0.3">
      <c r="A33" s="69" t="s">
        <v>1285</v>
      </c>
      <c r="B33" s="69" t="s">
        <v>577</v>
      </c>
      <c r="C33" s="69"/>
      <c r="D33" s="69" t="s">
        <v>470</v>
      </c>
      <c r="E33" s="138"/>
      <c r="F33" s="69" t="s">
        <v>1286</v>
      </c>
      <c r="G33" s="69"/>
      <c r="H33" s="69"/>
      <c r="I33" s="69"/>
      <c r="J33" s="69"/>
      <c r="K33" s="69"/>
      <c r="L33" s="69"/>
      <c r="M33" s="69"/>
      <c r="N33" s="69" t="s">
        <v>1280</v>
      </c>
      <c r="O33" s="140">
        <v>0</v>
      </c>
      <c r="P33" s="69" t="s">
        <v>1287</v>
      </c>
      <c r="Q33" s="21"/>
    </row>
    <row r="34" spans="1:17" x14ac:dyDescent="0.3">
      <c r="A34" s="31" t="s">
        <v>1293</v>
      </c>
      <c r="B34" s="31" t="s">
        <v>577</v>
      </c>
      <c r="C34" s="31"/>
      <c r="D34" s="31" t="s">
        <v>114</v>
      </c>
      <c r="E34" s="67"/>
      <c r="F34" s="31" t="s">
        <v>1294</v>
      </c>
      <c r="G34" s="31"/>
      <c r="H34" s="31"/>
      <c r="I34" s="31"/>
      <c r="J34" s="31"/>
      <c r="K34" s="31"/>
      <c r="L34" s="31"/>
      <c r="M34" s="31"/>
      <c r="N34" s="31"/>
      <c r="O34" s="152"/>
      <c r="P34" s="31"/>
    </row>
  </sheetData>
  <conditionalFormatting sqref="A2:A23">
    <cfRule type="duplicateValues" dxfId="13" priority="12"/>
  </conditionalFormatting>
  <conditionalFormatting sqref="A2:A23">
    <cfRule type="duplicateValues" dxfId="12" priority="11"/>
  </conditionalFormatting>
  <conditionalFormatting sqref="E2:E24">
    <cfRule type="duplicateValues" dxfId="11" priority="10"/>
  </conditionalFormatting>
  <conditionalFormatting sqref="A2:A23">
    <cfRule type="duplicateValues" dxfId="10" priority="13"/>
  </conditionalFormatting>
  <conditionalFormatting sqref="A23">
    <cfRule type="duplicateValues" dxfId="9" priority="9"/>
  </conditionalFormatting>
  <conditionalFormatting sqref="A1">
    <cfRule type="duplicateValues" dxfId="8" priority="7"/>
  </conditionalFormatting>
  <conditionalFormatting sqref="A1">
    <cfRule type="duplicateValues" dxfId="7" priority="6"/>
  </conditionalFormatting>
  <conditionalFormatting sqref="A1">
    <cfRule type="duplicateValues" dxfId="6" priority="8"/>
  </conditionalFormatting>
  <conditionalFormatting sqref="A25:A32">
    <cfRule type="duplicateValues" dxfId="5" priority="4"/>
  </conditionalFormatting>
  <conditionalFormatting sqref="A25:A32">
    <cfRule type="duplicateValues" dxfId="4" priority="3"/>
  </conditionalFormatting>
  <conditionalFormatting sqref="E25:E33">
    <cfRule type="duplicateValues" dxfId="3" priority="2"/>
  </conditionalFormatting>
  <conditionalFormatting sqref="A25:A32">
    <cfRule type="duplicateValues" dxfId="2" priority="5"/>
  </conditionalFormatting>
  <conditionalFormatting sqref="E34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C42C-7439-4C57-82A4-6D4AEA236E42}">
  <dimension ref="A1:D11"/>
  <sheetViews>
    <sheetView topLeftCell="A4" workbookViewId="0">
      <selection activeCell="A12" sqref="A12"/>
    </sheetView>
  </sheetViews>
  <sheetFormatPr defaultRowHeight="14.4" x14ac:dyDescent="0.3"/>
  <cols>
    <col min="2" max="2" width="48.5546875" bestFit="1" customWidth="1"/>
  </cols>
  <sheetData>
    <row r="1" spans="1:4" x14ac:dyDescent="0.3">
      <c r="A1" t="s">
        <v>886</v>
      </c>
      <c r="B1" t="s">
        <v>887</v>
      </c>
      <c r="C1" t="s">
        <v>888</v>
      </c>
    </row>
    <row r="2" spans="1:4" x14ac:dyDescent="0.3">
      <c r="A2" s="2">
        <v>45729</v>
      </c>
      <c r="B2" t="s">
        <v>889</v>
      </c>
      <c r="C2" t="s">
        <v>890</v>
      </c>
    </row>
    <row r="3" spans="1:4" x14ac:dyDescent="0.3">
      <c r="A3" s="2">
        <v>45729</v>
      </c>
      <c r="B3" t="s">
        <v>891</v>
      </c>
      <c r="C3" t="s">
        <v>892</v>
      </c>
      <c r="D3" t="s">
        <v>893</v>
      </c>
    </row>
    <row r="4" spans="1:4" x14ac:dyDescent="0.3">
      <c r="A4" s="2">
        <v>45729</v>
      </c>
      <c r="B4" t="s">
        <v>894</v>
      </c>
      <c r="C4" t="s">
        <v>892</v>
      </c>
      <c r="D4" t="s">
        <v>893</v>
      </c>
    </row>
    <row r="5" spans="1:4" x14ac:dyDescent="0.3">
      <c r="A5" s="2">
        <v>45729</v>
      </c>
      <c r="B5" t="s">
        <v>895</v>
      </c>
      <c r="C5" t="s">
        <v>892</v>
      </c>
    </row>
    <row r="6" spans="1:4" x14ac:dyDescent="0.3">
      <c r="A6" s="2">
        <v>45729</v>
      </c>
      <c r="B6" t="s">
        <v>896</v>
      </c>
      <c r="C6" t="s">
        <v>892</v>
      </c>
      <c r="D6" t="s">
        <v>893</v>
      </c>
    </row>
    <row r="7" spans="1:4" x14ac:dyDescent="0.3">
      <c r="A7" s="2">
        <v>45729</v>
      </c>
      <c r="B7" t="s">
        <v>897</v>
      </c>
      <c r="C7" t="s">
        <v>890</v>
      </c>
    </row>
    <row r="8" spans="1:4" ht="15" x14ac:dyDescent="0.3">
      <c r="A8" t="s">
        <v>898</v>
      </c>
      <c r="B8" s="30" t="s">
        <v>899</v>
      </c>
    </row>
    <row r="9" spans="1:4" ht="15" x14ac:dyDescent="0.3">
      <c r="A9" t="s">
        <v>898</v>
      </c>
      <c r="B9" s="30" t="s">
        <v>899</v>
      </c>
    </row>
    <row r="11" spans="1:4" x14ac:dyDescent="0.3">
      <c r="A11" t="s">
        <v>900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001B-1036-4F6B-9C45-F2C43B39CB22}">
  <dimension ref="A1:M45"/>
  <sheetViews>
    <sheetView showGridLines="0" workbookViewId="0">
      <selection activeCell="A6" sqref="A6"/>
    </sheetView>
  </sheetViews>
  <sheetFormatPr defaultRowHeight="14.4" x14ac:dyDescent="0.3"/>
  <cols>
    <col min="1" max="1" width="4" bestFit="1" customWidth="1"/>
    <col min="2" max="2" width="15.6640625" bestFit="1" customWidth="1"/>
    <col min="3" max="3" width="27.6640625" bestFit="1" customWidth="1"/>
    <col min="4" max="4" width="16.109375" bestFit="1" customWidth="1"/>
    <col min="5" max="5" width="10.5546875" bestFit="1" customWidth="1"/>
    <col min="6" max="7" width="22.5546875" bestFit="1" customWidth="1"/>
    <col min="8" max="8" width="16.33203125" bestFit="1" customWidth="1"/>
    <col min="9" max="9" width="27.6640625" bestFit="1" customWidth="1"/>
    <col min="10" max="10" width="30.6640625" bestFit="1" customWidth="1"/>
    <col min="11" max="11" width="19.5546875" bestFit="1" customWidth="1"/>
    <col min="12" max="12" width="10.88671875" bestFit="1" customWidth="1"/>
    <col min="13" max="13" width="28.88671875" bestFit="1" customWidth="1"/>
  </cols>
  <sheetData>
    <row r="1" spans="1:13" x14ac:dyDescent="0.3">
      <c r="A1" t="s">
        <v>530</v>
      </c>
      <c r="B1" t="s">
        <v>532</v>
      </c>
      <c r="C1" t="s">
        <v>533</v>
      </c>
      <c r="D1" t="s">
        <v>534</v>
      </c>
      <c r="E1" t="s">
        <v>901</v>
      </c>
      <c r="F1" t="s">
        <v>902</v>
      </c>
      <c r="G1" t="s">
        <v>903</v>
      </c>
      <c r="H1" t="s">
        <v>904</v>
      </c>
      <c r="I1" t="s">
        <v>905</v>
      </c>
      <c r="J1" t="s">
        <v>906</v>
      </c>
      <c r="K1" t="s">
        <v>907</v>
      </c>
      <c r="L1" t="s">
        <v>4</v>
      </c>
      <c r="M1" t="s">
        <v>908</v>
      </c>
    </row>
    <row r="2" spans="1:13" x14ac:dyDescent="0.3">
      <c r="A2">
        <v>244</v>
      </c>
      <c r="B2" t="s">
        <v>191</v>
      </c>
      <c r="C2" t="s">
        <v>598</v>
      </c>
      <c r="D2" s="3">
        <v>356485673725928</v>
      </c>
      <c r="E2" t="s">
        <v>550</v>
      </c>
      <c r="F2" t="s">
        <v>909</v>
      </c>
      <c r="G2" t="s">
        <v>599</v>
      </c>
      <c r="H2" s="2">
        <v>45720</v>
      </c>
      <c r="I2" t="s">
        <v>910</v>
      </c>
      <c r="J2" t="s">
        <v>911</v>
      </c>
      <c r="K2" t="s">
        <v>912</v>
      </c>
      <c r="M2" t="s">
        <v>913</v>
      </c>
    </row>
    <row r="3" spans="1:13" x14ac:dyDescent="0.3">
      <c r="A3" s="1" t="s">
        <v>914</v>
      </c>
      <c r="B3" t="s">
        <v>191</v>
      </c>
      <c r="C3" t="s">
        <v>630</v>
      </c>
      <c r="D3" s="3">
        <v>358091652600849</v>
      </c>
      <c r="E3" t="s">
        <v>915</v>
      </c>
      <c r="F3" t="s">
        <v>599</v>
      </c>
      <c r="G3" s="2">
        <v>45720</v>
      </c>
      <c r="M3" t="s">
        <v>916</v>
      </c>
    </row>
    <row r="4" spans="1:13" x14ac:dyDescent="0.3">
      <c r="A4" s="4">
        <v>126</v>
      </c>
      <c r="B4" s="4" t="s">
        <v>114</v>
      </c>
      <c r="C4" s="4" t="s">
        <v>844</v>
      </c>
      <c r="D4" s="6">
        <v>356029485569361</v>
      </c>
      <c r="E4" s="4" t="s">
        <v>917</v>
      </c>
      <c r="F4" s="4" t="s">
        <v>909</v>
      </c>
      <c r="G4" s="4" t="s">
        <v>918</v>
      </c>
      <c r="H4" s="9">
        <v>45723</v>
      </c>
      <c r="I4" s="4" t="s">
        <v>919</v>
      </c>
      <c r="J4" s="4" t="s">
        <v>920</v>
      </c>
      <c r="K4" s="4" t="s">
        <v>464</v>
      </c>
      <c r="L4" s="4" t="s">
        <v>22</v>
      </c>
      <c r="M4" s="4" t="s">
        <v>916</v>
      </c>
    </row>
    <row r="5" spans="1:13" x14ac:dyDescent="0.3">
      <c r="A5" s="1">
        <v>245</v>
      </c>
      <c r="B5" s="21" t="s">
        <v>114</v>
      </c>
      <c r="C5" s="21" t="s">
        <v>844</v>
      </c>
      <c r="D5" s="3">
        <v>356029485261308</v>
      </c>
      <c r="E5" s="21" t="s">
        <v>917</v>
      </c>
      <c r="F5" s="21" t="s">
        <v>909</v>
      </c>
      <c r="G5" s="21" t="s">
        <v>918</v>
      </c>
      <c r="H5" s="22">
        <v>45726</v>
      </c>
      <c r="I5" s="21" t="s">
        <v>919</v>
      </c>
      <c r="J5" s="21" t="s">
        <v>920</v>
      </c>
      <c r="K5" s="21" t="s">
        <v>471</v>
      </c>
      <c r="L5" s="21" t="s">
        <v>22</v>
      </c>
      <c r="M5" s="21" t="s">
        <v>913</v>
      </c>
    </row>
    <row r="6" spans="1:13" x14ac:dyDescent="0.3">
      <c r="A6">
        <v>246</v>
      </c>
      <c r="B6" t="s">
        <v>191</v>
      </c>
      <c r="C6" t="s">
        <v>760</v>
      </c>
      <c r="D6" s="3">
        <v>354807370356289</v>
      </c>
      <c r="E6" t="s">
        <v>917</v>
      </c>
      <c r="F6" t="s">
        <v>909</v>
      </c>
      <c r="G6" s="21" t="s">
        <v>761</v>
      </c>
      <c r="H6" s="2">
        <v>45730</v>
      </c>
      <c r="I6" t="s">
        <v>919</v>
      </c>
      <c r="J6" t="s">
        <v>921</v>
      </c>
      <c r="K6" t="s">
        <v>257</v>
      </c>
      <c r="L6" s="21" t="s">
        <v>22</v>
      </c>
      <c r="M6" s="21" t="s">
        <v>913</v>
      </c>
    </row>
    <row r="7" spans="1:13" x14ac:dyDescent="0.3">
      <c r="A7" s="1" t="s">
        <v>922</v>
      </c>
      <c r="B7" s="28" t="s">
        <v>191</v>
      </c>
      <c r="C7" s="28" t="s">
        <v>923</v>
      </c>
      <c r="D7" s="29">
        <v>356868118528082</v>
      </c>
      <c r="E7" t="s">
        <v>915</v>
      </c>
      <c r="F7" s="21" t="s">
        <v>761</v>
      </c>
      <c r="G7" t="s">
        <v>924</v>
      </c>
      <c r="H7" s="2">
        <v>45730</v>
      </c>
      <c r="I7" t="s">
        <v>910</v>
      </c>
      <c r="J7" t="s">
        <v>921</v>
      </c>
      <c r="K7" t="s">
        <v>925</v>
      </c>
      <c r="L7" t="s">
        <v>925</v>
      </c>
      <c r="M7" s="21" t="s">
        <v>913</v>
      </c>
    </row>
    <row r="8" spans="1:13" x14ac:dyDescent="0.3">
      <c r="D8" s="3"/>
      <c r="M8" s="21" t="s">
        <v>913</v>
      </c>
    </row>
    <row r="9" spans="1:13" x14ac:dyDescent="0.3">
      <c r="D9" s="3"/>
      <c r="M9" s="21" t="s">
        <v>913</v>
      </c>
    </row>
    <row r="10" spans="1:13" x14ac:dyDescent="0.3">
      <c r="M10" s="21" t="s">
        <v>913</v>
      </c>
    </row>
    <row r="11" spans="1:13" x14ac:dyDescent="0.3">
      <c r="D11" s="3"/>
    </row>
    <row r="12" spans="1:13" x14ac:dyDescent="0.3">
      <c r="D12" s="3"/>
    </row>
    <row r="13" spans="1:13" x14ac:dyDescent="0.3">
      <c r="D13" s="3"/>
    </row>
    <row r="14" spans="1:13" x14ac:dyDescent="0.3">
      <c r="D14" s="3"/>
    </row>
    <row r="15" spans="1:13" x14ac:dyDescent="0.3">
      <c r="D15" s="3"/>
    </row>
    <row r="16" spans="1:13" x14ac:dyDescent="0.3">
      <c r="D16" s="3"/>
    </row>
    <row r="17" spans="4:4" x14ac:dyDescent="0.3">
      <c r="D17" s="3"/>
    </row>
    <row r="18" spans="4:4" x14ac:dyDescent="0.3">
      <c r="D18" s="3"/>
    </row>
    <row r="19" spans="4:4" x14ac:dyDescent="0.3">
      <c r="D19" s="3"/>
    </row>
    <row r="20" spans="4:4" x14ac:dyDescent="0.3">
      <c r="D20" s="3"/>
    </row>
    <row r="21" spans="4:4" x14ac:dyDescent="0.3">
      <c r="D21" s="3"/>
    </row>
    <row r="22" spans="4:4" x14ac:dyDescent="0.3">
      <c r="D22" s="3"/>
    </row>
    <row r="23" spans="4:4" x14ac:dyDescent="0.3">
      <c r="D23" s="3"/>
    </row>
    <row r="24" spans="4:4" x14ac:dyDescent="0.3">
      <c r="D24" s="3"/>
    </row>
    <row r="25" spans="4:4" x14ac:dyDescent="0.3">
      <c r="D25" s="3"/>
    </row>
    <row r="26" spans="4:4" x14ac:dyDescent="0.3">
      <c r="D26" s="3"/>
    </row>
    <row r="27" spans="4:4" x14ac:dyDescent="0.3">
      <c r="D27" s="3"/>
    </row>
    <row r="28" spans="4:4" x14ac:dyDescent="0.3">
      <c r="D28" s="3"/>
    </row>
    <row r="29" spans="4:4" x14ac:dyDescent="0.3">
      <c r="D29" s="3"/>
    </row>
    <row r="30" spans="4:4" x14ac:dyDescent="0.3">
      <c r="D30" s="3"/>
    </row>
    <row r="31" spans="4:4" x14ac:dyDescent="0.3">
      <c r="D31" s="3"/>
    </row>
    <row r="32" spans="4:4" x14ac:dyDescent="0.3">
      <c r="D32" s="3"/>
    </row>
    <row r="33" spans="4:4" x14ac:dyDescent="0.3">
      <c r="D33" s="3"/>
    </row>
    <row r="34" spans="4:4" x14ac:dyDescent="0.3">
      <c r="D34" s="3"/>
    </row>
    <row r="35" spans="4:4" x14ac:dyDescent="0.3">
      <c r="D35" s="3"/>
    </row>
    <row r="36" spans="4:4" x14ac:dyDescent="0.3">
      <c r="D36" s="3"/>
    </row>
    <row r="37" spans="4:4" x14ac:dyDescent="0.3">
      <c r="D37" s="3"/>
    </row>
    <row r="38" spans="4:4" x14ac:dyDescent="0.3">
      <c r="D38" s="3"/>
    </row>
    <row r="39" spans="4:4" x14ac:dyDescent="0.3">
      <c r="D39" s="3"/>
    </row>
    <row r="40" spans="4:4" x14ac:dyDescent="0.3">
      <c r="D40" s="3"/>
    </row>
    <row r="41" spans="4:4" x14ac:dyDescent="0.3">
      <c r="D41" s="3"/>
    </row>
    <row r="42" spans="4:4" x14ac:dyDescent="0.3">
      <c r="D42" s="3"/>
    </row>
    <row r="43" spans="4:4" x14ac:dyDescent="0.3">
      <c r="D43" s="3"/>
    </row>
    <row r="44" spans="4:4" x14ac:dyDescent="0.3">
      <c r="D44" s="3"/>
    </row>
    <row r="45" spans="4:4" x14ac:dyDescent="0.3">
      <c r="D45" s="3"/>
    </row>
  </sheetData>
  <conditionalFormatting sqref="B12">
    <cfRule type="duplicateValues" dxfId="45" priority="1"/>
  </conditionalFormatting>
  <conditionalFormatting sqref="D2">
    <cfRule type="duplicateValues" dxfId="44" priority="7"/>
  </conditionalFormatting>
  <conditionalFormatting sqref="D3">
    <cfRule type="duplicateValues" dxfId="43" priority="6"/>
  </conditionalFormatting>
  <conditionalFormatting sqref="D4">
    <cfRule type="duplicateValues" dxfId="42" priority="5"/>
  </conditionalFormatting>
  <conditionalFormatting sqref="D5:D6 D8:D9 D11:D45">
    <cfRule type="duplicateValues" dxfId="41" priority="4"/>
  </conditionalFormatting>
  <conditionalFormatting sqref="D7">
    <cfRule type="duplicateValues" dxfId="40" priority="2"/>
  </conditionalFormatting>
  <conditionalFormatting sqref="K6:K8 L7">
    <cfRule type="duplicateValues" dxfId="39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0706-B68B-4A4D-AE75-70FBF168A93E}">
  <dimension ref="A1:M71"/>
  <sheetViews>
    <sheetView showGridLines="0" workbookViewId="0">
      <pane ySplit="1" topLeftCell="A20" activePane="bottomLeft" state="frozen"/>
      <selection pane="bottomLeft" activeCell="F13" sqref="F13"/>
    </sheetView>
  </sheetViews>
  <sheetFormatPr defaultRowHeight="14.4" x14ac:dyDescent="0.3"/>
  <cols>
    <col min="1" max="1" width="4" bestFit="1" customWidth="1"/>
    <col min="2" max="2" width="12.33203125" bestFit="1" customWidth="1"/>
    <col min="3" max="3" width="9.5546875" bestFit="1" customWidth="1"/>
    <col min="4" max="4" width="15.6640625" bestFit="1" customWidth="1"/>
    <col min="5" max="5" width="33.88671875" bestFit="1" customWidth="1"/>
    <col min="6" max="6" width="16.109375" bestFit="1" customWidth="1"/>
    <col min="7" max="7" width="10.33203125" customWidth="1"/>
    <col min="8" max="8" width="10.5546875" bestFit="1" customWidth="1"/>
    <col min="9" max="9" width="17.6640625" bestFit="1" customWidth="1"/>
    <col min="10" max="10" width="19.6640625" customWidth="1"/>
    <col min="11" max="11" width="39.33203125" bestFit="1" customWidth="1"/>
    <col min="12" max="12" width="22.109375" bestFit="1" customWidth="1"/>
  </cols>
  <sheetData>
    <row r="1" spans="1:13" x14ac:dyDescent="0.3">
      <c r="A1" t="s">
        <v>530</v>
      </c>
      <c r="B1" t="s">
        <v>926</v>
      </c>
      <c r="C1" t="s">
        <v>4</v>
      </c>
      <c r="D1" t="s">
        <v>532</v>
      </c>
      <c r="E1" t="s">
        <v>533</v>
      </c>
      <c r="F1" t="s">
        <v>534</v>
      </c>
      <c r="G1" t="s">
        <v>927</v>
      </c>
      <c r="H1" t="s">
        <v>928</v>
      </c>
      <c r="I1" t="s">
        <v>929</v>
      </c>
      <c r="J1" t="s">
        <v>930</v>
      </c>
      <c r="K1" t="s">
        <v>931</v>
      </c>
      <c r="L1" t="s">
        <v>932</v>
      </c>
      <c r="M1" t="s">
        <v>933</v>
      </c>
    </row>
    <row r="2" spans="1:13" x14ac:dyDescent="0.3">
      <c r="A2">
        <v>200</v>
      </c>
      <c r="B2" t="s">
        <v>934</v>
      </c>
      <c r="C2" t="s">
        <v>577</v>
      </c>
      <c r="D2" t="s">
        <v>191</v>
      </c>
      <c r="E2" t="s">
        <v>630</v>
      </c>
      <c r="F2" s="3">
        <v>358469523212749</v>
      </c>
      <c r="G2" t="s">
        <v>935</v>
      </c>
      <c r="H2" t="s">
        <v>549</v>
      </c>
      <c r="I2" s="2">
        <v>45658</v>
      </c>
    </row>
    <row r="3" spans="1:13" x14ac:dyDescent="0.3">
      <c r="A3">
        <v>201</v>
      </c>
      <c r="B3" t="s">
        <v>934</v>
      </c>
      <c r="C3" t="s">
        <v>577</v>
      </c>
      <c r="D3" t="s">
        <v>585</v>
      </c>
      <c r="E3" t="s">
        <v>586</v>
      </c>
      <c r="F3" s="3">
        <v>355978840905119</v>
      </c>
      <c r="G3" t="s">
        <v>935</v>
      </c>
      <c r="H3" t="s">
        <v>590</v>
      </c>
      <c r="I3" s="2">
        <v>45658</v>
      </c>
      <c r="J3" t="s">
        <v>936</v>
      </c>
    </row>
    <row r="4" spans="1:13" x14ac:dyDescent="0.3">
      <c r="A4">
        <v>202</v>
      </c>
      <c r="B4" t="s">
        <v>934</v>
      </c>
      <c r="C4" t="s">
        <v>577</v>
      </c>
      <c r="D4" t="s">
        <v>585</v>
      </c>
      <c r="E4" t="s">
        <v>586</v>
      </c>
      <c r="F4" s="3">
        <v>355978840887846</v>
      </c>
      <c r="G4" t="s">
        <v>935</v>
      </c>
      <c r="H4" t="s">
        <v>590</v>
      </c>
      <c r="I4" s="2">
        <v>45658</v>
      </c>
    </row>
    <row r="5" spans="1:13" x14ac:dyDescent="0.3">
      <c r="A5">
        <v>203</v>
      </c>
      <c r="B5" t="s">
        <v>934</v>
      </c>
      <c r="C5" t="s">
        <v>577</v>
      </c>
      <c r="D5" t="s">
        <v>585</v>
      </c>
      <c r="E5" t="s">
        <v>586</v>
      </c>
      <c r="F5" s="3">
        <v>355978840949604</v>
      </c>
      <c r="G5" t="s">
        <v>935</v>
      </c>
      <c r="H5" t="s">
        <v>590</v>
      </c>
      <c r="I5" s="2">
        <v>45658</v>
      </c>
    </row>
    <row r="6" spans="1:13" x14ac:dyDescent="0.3">
      <c r="A6">
        <v>204</v>
      </c>
      <c r="B6" t="s">
        <v>934</v>
      </c>
      <c r="C6" t="s">
        <v>577</v>
      </c>
      <c r="D6" t="s">
        <v>585</v>
      </c>
      <c r="E6" t="s">
        <v>586</v>
      </c>
      <c r="F6" s="3">
        <v>355978840888265</v>
      </c>
      <c r="G6" t="s">
        <v>935</v>
      </c>
      <c r="H6" t="s">
        <v>590</v>
      </c>
      <c r="I6" s="2">
        <v>45658</v>
      </c>
    </row>
    <row r="7" spans="1:13" x14ac:dyDescent="0.3">
      <c r="A7">
        <v>205</v>
      </c>
      <c r="B7" t="s">
        <v>934</v>
      </c>
      <c r="C7" t="s">
        <v>577</v>
      </c>
      <c r="D7" t="s">
        <v>40</v>
      </c>
      <c r="E7" t="s">
        <v>937</v>
      </c>
      <c r="F7" s="3">
        <v>351082126308546</v>
      </c>
      <c r="G7" t="s">
        <v>935</v>
      </c>
      <c r="H7" t="s">
        <v>549</v>
      </c>
      <c r="I7" s="2">
        <v>45658</v>
      </c>
      <c r="J7" t="s">
        <v>938</v>
      </c>
    </row>
    <row r="8" spans="1:13" x14ac:dyDescent="0.3">
      <c r="A8">
        <v>207</v>
      </c>
      <c r="B8" t="s">
        <v>934</v>
      </c>
      <c r="C8" t="s">
        <v>577</v>
      </c>
      <c r="D8" t="s">
        <v>592</v>
      </c>
      <c r="E8" t="s">
        <v>939</v>
      </c>
      <c r="F8" s="3" t="s">
        <v>940</v>
      </c>
      <c r="G8" t="s">
        <v>935</v>
      </c>
      <c r="H8" t="s">
        <v>549</v>
      </c>
      <c r="I8" s="2">
        <v>45658</v>
      </c>
    </row>
    <row r="9" spans="1:13" x14ac:dyDescent="0.3">
      <c r="A9">
        <v>208</v>
      </c>
      <c r="B9" t="s">
        <v>934</v>
      </c>
      <c r="C9" t="s">
        <v>577</v>
      </c>
      <c r="D9" t="s">
        <v>592</v>
      </c>
      <c r="E9" t="s">
        <v>939</v>
      </c>
      <c r="F9" s="3" t="s">
        <v>941</v>
      </c>
      <c r="G9" t="s">
        <v>935</v>
      </c>
      <c r="H9" t="s">
        <v>549</v>
      </c>
      <c r="I9" s="2">
        <v>45658</v>
      </c>
    </row>
    <row r="10" spans="1:13" x14ac:dyDescent="0.3">
      <c r="A10">
        <v>209</v>
      </c>
      <c r="B10" t="s">
        <v>934</v>
      </c>
      <c r="C10" t="s">
        <v>942</v>
      </c>
      <c r="D10" t="s">
        <v>592</v>
      </c>
      <c r="E10" t="s">
        <v>943</v>
      </c>
      <c r="F10" s="3" t="s">
        <v>944</v>
      </c>
      <c r="G10" t="s">
        <v>935</v>
      </c>
      <c r="H10" t="s">
        <v>549</v>
      </c>
      <c r="I10" s="2">
        <v>45658</v>
      </c>
    </row>
    <row r="11" spans="1:13" x14ac:dyDescent="0.3">
      <c r="A11">
        <v>210</v>
      </c>
      <c r="B11" t="s">
        <v>934</v>
      </c>
      <c r="C11" t="s">
        <v>22</v>
      </c>
      <c r="D11" t="s">
        <v>592</v>
      </c>
      <c r="E11" t="s">
        <v>945</v>
      </c>
      <c r="F11" s="3" t="s">
        <v>946</v>
      </c>
      <c r="G11" t="s">
        <v>935</v>
      </c>
      <c r="H11" t="s">
        <v>549</v>
      </c>
      <c r="I11" s="2">
        <v>45658</v>
      </c>
    </row>
    <row r="12" spans="1:13" x14ac:dyDescent="0.3">
      <c r="A12">
        <v>211</v>
      </c>
      <c r="B12" t="s">
        <v>934</v>
      </c>
      <c r="C12" t="s">
        <v>577</v>
      </c>
      <c r="D12" t="s">
        <v>592</v>
      </c>
      <c r="E12" t="s">
        <v>945</v>
      </c>
      <c r="F12" s="3" t="s">
        <v>947</v>
      </c>
      <c r="G12" t="s">
        <v>935</v>
      </c>
      <c r="H12" t="s">
        <v>549</v>
      </c>
      <c r="I12" s="2">
        <v>45658</v>
      </c>
    </row>
    <row r="13" spans="1:13" x14ac:dyDescent="0.3">
      <c r="A13">
        <v>212</v>
      </c>
      <c r="B13" t="s">
        <v>934</v>
      </c>
      <c r="C13" t="s">
        <v>22</v>
      </c>
      <c r="D13" t="s">
        <v>191</v>
      </c>
      <c r="E13" t="s">
        <v>948</v>
      </c>
      <c r="F13" s="3" t="s">
        <v>949</v>
      </c>
      <c r="G13" t="s">
        <v>935</v>
      </c>
      <c r="H13" t="s">
        <v>549</v>
      </c>
      <c r="I13" s="2">
        <v>45658</v>
      </c>
    </row>
    <row r="14" spans="1:13" x14ac:dyDescent="0.3">
      <c r="A14">
        <v>213</v>
      </c>
      <c r="B14" t="s">
        <v>934</v>
      </c>
      <c r="C14" t="s">
        <v>22</v>
      </c>
      <c r="D14" t="s">
        <v>191</v>
      </c>
      <c r="E14" t="s">
        <v>950</v>
      </c>
      <c r="F14" s="3" t="s">
        <v>951</v>
      </c>
      <c r="G14" t="s">
        <v>935</v>
      </c>
      <c r="H14" t="s">
        <v>549</v>
      </c>
      <c r="I14" s="2">
        <v>45658</v>
      </c>
    </row>
    <row r="15" spans="1:13" x14ac:dyDescent="0.3">
      <c r="A15">
        <v>214</v>
      </c>
      <c r="B15" t="s">
        <v>934</v>
      </c>
      <c r="C15" t="s">
        <v>22</v>
      </c>
      <c r="D15" t="s">
        <v>592</v>
      </c>
      <c r="E15" t="s">
        <v>952</v>
      </c>
      <c r="F15" s="3" t="s">
        <v>953</v>
      </c>
      <c r="G15" t="s">
        <v>935</v>
      </c>
      <c r="H15" t="s">
        <v>549</v>
      </c>
      <c r="I15" s="2">
        <v>45658</v>
      </c>
    </row>
    <row r="16" spans="1:13" x14ac:dyDescent="0.3">
      <c r="A16">
        <v>216</v>
      </c>
      <c r="B16" t="s">
        <v>934</v>
      </c>
      <c r="C16" t="s">
        <v>22</v>
      </c>
      <c r="D16" t="s">
        <v>191</v>
      </c>
      <c r="E16" t="s">
        <v>954</v>
      </c>
      <c r="F16" s="3">
        <v>350422143443614</v>
      </c>
      <c r="G16" t="s">
        <v>935</v>
      </c>
      <c r="H16" t="s">
        <v>549</v>
      </c>
      <c r="I16" s="2">
        <v>45658</v>
      </c>
      <c r="J16" t="s">
        <v>955</v>
      </c>
    </row>
    <row r="17" spans="1:10" x14ac:dyDescent="0.3">
      <c r="A17">
        <v>217</v>
      </c>
      <c r="B17" t="s">
        <v>934</v>
      </c>
      <c r="C17" t="s">
        <v>22</v>
      </c>
      <c r="D17" t="s">
        <v>592</v>
      </c>
      <c r="E17" t="s">
        <v>611</v>
      </c>
      <c r="F17" s="3">
        <v>351082121083334</v>
      </c>
      <c r="G17" t="s">
        <v>935</v>
      </c>
      <c r="H17" t="s">
        <v>549</v>
      </c>
      <c r="I17" s="2">
        <v>45658</v>
      </c>
      <c r="J17" t="s">
        <v>955</v>
      </c>
    </row>
    <row r="18" spans="1:10" x14ac:dyDescent="0.3">
      <c r="A18">
        <v>218</v>
      </c>
      <c r="B18" t="s">
        <v>934</v>
      </c>
      <c r="C18" t="s">
        <v>22</v>
      </c>
      <c r="D18" t="s">
        <v>592</v>
      </c>
      <c r="E18" t="s">
        <v>611</v>
      </c>
      <c r="F18" s="3">
        <v>351082120960722</v>
      </c>
      <c r="G18" t="s">
        <v>935</v>
      </c>
      <c r="H18" t="s">
        <v>549</v>
      </c>
      <c r="I18" s="2">
        <v>45658</v>
      </c>
      <c r="J18" t="s">
        <v>955</v>
      </c>
    </row>
    <row r="19" spans="1:10" x14ac:dyDescent="0.3">
      <c r="A19">
        <v>219</v>
      </c>
      <c r="B19" t="s">
        <v>934</v>
      </c>
      <c r="C19" t="s">
        <v>22</v>
      </c>
      <c r="D19" t="s">
        <v>592</v>
      </c>
      <c r="E19" t="s">
        <v>611</v>
      </c>
      <c r="F19" s="3">
        <v>351082120939429</v>
      </c>
      <c r="G19" t="s">
        <v>935</v>
      </c>
      <c r="H19" t="s">
        <v>549</v>
      </c>
      <c r="I19" s="2">
        <v>45658</v>
      </c>
      <c r="J19" t="s">
        <v>955</v>
      </c>
    </row>
    <row r="20" spans="1:10" x14ac:dyDescent="0.3">
      <c r="A20">
        <v>220</v>
      </c>
      <c r="B20" t="s">
        <v>934</v>
      </c>
      <c r="C20" t="s">
        <v>577</v>
      </c>
      <c r="D20" t="s">
        <v>585</v>
      </c>
      <c r="E20" t="s">
        <v>586</v>
      </c>
      <c r="F20" s="3">
        <v>355978840949711</v>
      </c>
      <c r="G20" t="s">
        <v>935</v>
      </c>
      <c r="H20" t="s">
        <v>549</v>
      </c>
      <c r="I20" s="2">
        <v>45658</v>
      </c>
      <c r="J20" t="s">
        <v>955</v>
      </c>
    </row>
    <row r="21" spans="1:10" x14ac:dyDescent="0.3">
      <c r="A21">
        <v>221</v>
      </c>
      <c r="B21" t="s">
        <v>934</v>
      </c>
      <c r="C21" t="s">
        <v>577</v>
      </c>
      <c r="D21" t="s">
        <v>585</v>
      </c>
      <c r="E21" t="s">
        <v>586</v>
      </c>
      <c r="F21" s="3">
        <v>355978840923146</v>
      </c>
      <c r="G21" t="s">
        <v>935</v>
      </c>
      <c r="H21" t="s">
        <v>549</v>
      </c>
      <c r="I21" s="2">
        <v>45658</v>
      </c>
      <c r="J21" t="s">
        <v>955</v>
      </c>
    </row>
    <row r="22" spans="1:10" x14ac:dyDescent="0.3">
      <c r="A22">
        <v>222</v>
      </c>
      <c r="B22" t="s">
        <v>934</v>
      </c>
      <c r="C22" t="s">
        <v>577</v>
      </c>
      <c r="D22" t="s">
        <v>585</v>
      </c>
      <c r="E22" t="s">
        <v>586</v>
      </c>
      <c r="F22" s="3">
        <v>355978840939803</v>
      </c>
      <c r="G22" t="s">
        <v>935</v>
      </c>
      <c r="H22" t="s">
        <v>549</v>
      </c>
      <c r="I22" s="2">
        <v>45658</v>
      </c>
      <c r="J22" t="s">
        <v>955</v>
      </c>
    </row>
    <row r="23" spans="1:10" x14ac:dyDescent="0.3">
      <c r="A23">
        <v>223</v>
      </c>
      <c r="B23" t="s">
        <v>934</v>
      </c>
      <c r="C23" t="s">
        <v>577</v>
      </c>
      <c r="D23" t="s">
        <v>585</v>
      </c>
      <c r="E23" t="s">
        <v>586</v>
      </c>
      <c r="F23" s="3">
        <v>355978840893695</v>
      </c>
      <c r="G23" t="s">
        <v>935</v>
      </c>
      <c r="H23" t="s">
        <v>549</v>
      </c>
      <c r="I23" s="2">
        <v>45658</v>
      </c>
      <c r="J23" t="s">
        <v>956</v>
      </c>
    </row>
    <row r="24" spans="1:10" x14ac:dyDescent="0.3">
      <c r="A24">
        <v>224</v>
      </c>
      <c r="B24" t="s">
        <v>934</v>
      </c>
      <c r="C24" t="s">
        <v>22</v>
      </c>
      <c r="D24" t="s">
        <v>592</v>
      </c>
      <c r="E24" t="s">
        <v>848</v>
      </c>
      <c r="F24" s="3" t="s">
        <v>957</v>
      </c>
      <c r="G24" t="s">
        <v>935</v>
      </c>
      <c r="H24" t="s">
        <v>549</v>
      </c>
      <c r="I24" s="2">
        <v>45658</v>
      </c>
      <c r="J24" t="s">
        <v>956</v>
      </c>
    </row>
    <row r="25" spans="1:10" x14ac:dyDescent="0.3">
      <c r="A25">
        <v>225</v>
      </c>
      <c r="B25" t="s">
        <v>934</v>
      </c>
      <c r="C25" t="s">
        <v>22</v>
      </c>
      <c r="D25" t="s">
        <v>592</v>
      </c>
      <c r="E25" t="s">
        <v>952</v>
      </c>
      <c r="F25" s="3" t="s">
        <v>958</v>
      </c>
      <c r="G25" t="s">
        <v>935</v>
      </c>
      <c r="H25" t="s">
        <v>549</v>
      </c>
      <c r="I25" s="2">
        <v>45658</v>
      </c>
      <c r="J25" t="s">
        <v>956</v>
      </c>
    </row>
    <row r="26" spans="1:10" x14ac:dyDescent="0.3">
      <c r="A26">
        <v>226</v>
      </c>
      <c r="B26" t="s">
        <v>934</v>
      </c>
      <c r="C26" t="s">
        <v>577</v>
      </c>
      <c r="D26" t="s">
        <v>592</v>
      </c>
      <c r="E26" t="s">
        <v>939</v>
      </c>
      <c r="F26" s="3" t="s">
        <v>959</v>
      </c>
      <c r="G26" t="s">
        <v>935</v>
      </c>
      <c r="H26" t="s">
        <v>549</v>
      </c>
      <c r="I26" s="2">
        <v>45658</v>
      </c>
      <c r="J26" t="s">
        <v>960</v>
      </c>
    </row>
    <row r="27" spans="1:10" x14ac:dyDescent="0.3">
      <c r="A27">
        <v>227</v>
      </c>
      <c r="B27" t="s">
        <v>934</v>
      </c>
      <c r="C27" t="s">
        <v>577</v>
      </c>
      <c r="D27" t="s">
        <v>592</v>
      </c>
      <c r="E27" t="s">
        <v>961</v>
      </c>
      <c r="F27" s="3" t="s">
        <v>962</v>
      </c>
      <c r="G27" t="s">
        <v>935</v>
      </c>
      <c r="H27" t="s">
        <v>549</v>
      </c>
      <c r="I27" s="2">
        <v>45658</v>
      </c>
      <c r="J27" t="s">
        <v>956</v>
      </c>
    </row>
    <row r="28" spans="1:10" x14ac:dyDescent="0.3">
      <c r="A28">
        <v>228</v>
      </c>
      <c r="B28" t="s">
        <v>934</v>
      </c>
      <c r="C28" t="s">
        <v>22</v>
      </c>
      <c r="D28" t="s">
        <v>592</v>
      </c>
      <c r="E28" t="s">
        <v>952</v>
      </c>
      <c r="F28" s="3" t="s">
        <v>963</v>
      </c>
      <c r="G28" t="s">
        <v>935</v>
      </c>
      <c r="H28" t="s">
        <v>549</v>
      </c>
      <c r="I28" s="2">
        <v>45658</v>
      </c>
      <c r="J28" t="s">
        <v>964</v>
      </c>
    </row>
    <row r="29" spans="1:10" x14ac:dyDescent="0.3">
      <c r="A29">
        <v>229</v>
      </c>
      <c r="B29" t="s">
        <v>934</v>
      </c>
      <c r="C29" t="s">
        <v>577</v>
      </c>
      <c r="D29" t="s">
        <v>592</v>
      </c>
      <c r="E29" t="s">
        <v>939</v>
      </c>
      <c r="F29" s="3" t="s">
        <v>965</v>
      </c>
      <c r="G29" t="s">
        <v>935</v>
      </c>
      <c r="H29" t="s">
        <v>549</v>
      </c>
      <c r="I29" s="2">
        <v>45658</v>
      </c>
      <c r="J29" t="s">
        <v>964</v>
      </c>
    </row>
    <row r="30" spans="1:10" x14ac:dyDescent="0.3">
      <c r="A30">
        <v>230</v>
      </c>
      <c r="B30" t="s">
        <v>934</v>
      </c>
      <c r="C30" t="s">
        <v>22</v>
      </c>
      <c r="D30" t="s">
        <v>592</v>
      </c>
      <c r="E30" t="s">
        <v>945</v>
      </c>
      <c r="F30" s="3" t="s">
        <v>966</v>
      </c>
      <c r="G30" t="s">
        <v>935</v>
      </c>
      <c r="H30" t="s">
        <v>549</v>
      </c>
      <c r="I30" s="2">
        <v>45658</v>
      </c>
      <c r="J30" t="s">
        <v>964</v>
      </c>
    </row>
    <row r="31" spans="1:10" x14ac:dyDescent="0.3">
      <c r="A31">
        <v>231</v>
      </c>
      <c r="B31" t="s">
        <v>934</v>
      </c>
      <c r="C31" t="s">
        <v>22</v>
      </c>
      <c r="D31" t="s">
        <v>592</v>
      </c>
      <c r="E31" t="s">
        <v>952</v>
      </c>
      <c r="F31" s="3" t="s">
        <v>967</v>
      </c>
      <c r="G31" t="s">
        <v>935</v>
      </c>
      <c r="H31" t="s">
        <v>549</v>
      </c>
      <c r="I31" s="2">
        <v>45658</v>
      </c>
      <c r="J31" t="s">
        <v>968</v>
      </c>
    </row>
    <row r="32" spans="1:10" x14ac:dyDescent="0.3">
      <c r="A32">
        <v>232</v>
      </c>
      <c r="B32" t="s">
        <v>934</v>
      </c>
      <c r="C32" t="s">
        <v>22</v>
      </c>
      <c r="D32" t="s">
        <v>592</v>
      </c>
      <c r="E32" t="s">
        <v>969</v>
      </c>
      <c r="F32" s="3" t="s">
        <v>970</v>
      </c>
      <c r="G32" t="s">
        <v>935</v>
      </c>
      <c r="H32" t="s">
        <v>549</v>
      </c>
      <c r="I32" s="2">
        <v>45658</v>
      </c>
      <c r="J32" t="s">
        <v>971</v>
      </c>
    </row>
    <row r="33" spans="1:11" x14ac:dyDescent="0.3">
      <c r="A33">
        <v>233</v>
      </c>
      <c r="B33" t="s">
        <v>934</v>
      </c>
      <c r="C33" t="s">
        <v>577</v>
      </c>
      <c r="D33" t="s">
        <v>592</v>
      </c>
      <c r="E33" t="s">
        <v>939</v>
      </c>
      <c r="F33" s="3" t="s">
        <v>972</v>
      </c>
      <c r="G33" t="s">
        <v>935</v>
      </c>
      <c r="H33" t="s">
        <v>549</v>
      </c>
      <c r="I33" s="2">
        <v>45658</v>
      </c>
      <c r="J33" t="s">
        <v>971</v>
      </c>
    </row>
    <row r="34" spans="1:11" x14ac:dyDescent="0.3">
      <c r="A34">
        <v>234</v>
      </c>
      <c r="B34" t="s">
        <v>934</v>
      </c>
      <c r="C34" t="s">
        <v>22</v>
      </c>
      <c r="D34" t="s">
        <v>592</v>
      </c>
      <c r="E34" t="s">
        <v>952</v>
      </c>
      <c r="F34" s="3" t="s">
        <v>973</v>
      </c>
      <c r="G34" t="s">
        <v>935</v>
      </c>
      <c r="H34" t="s">
        <v>549</v>
      </c>
      <c r="I34" s="2">
        <v>45658</v>
      </c>
      <c r="J34" t="s">
        <v>971</v>
      </c>
    </row>
    <row r="35" spans="1:11" x14ac:dyDescent="0.3">
      <c r="A35">
        <v>235</v>
      </c>
      <c r="B35" t="s">
        <v>934</v>
      </c>
      <c r="C35" t="s">
        <v>22</v>
      </c>
      <c r="D35" t="s">
        <v>592</v>
      </c>
      <c r="E35" t="s">
        <v>952</v>
      </c>
      <c r="F35" s="3" t="s">
        <v>974</v>
      </c>
      <c r="G35" t="s">
        <v>935</v>
      </c>
      <c r="H35" t="s">
        <v>549</v>
      </c>
      <c r="I35" s="2">
        <v>45658</v>
      </c>
      <c r="J35" t="s">
        <v>971</v>
      </c>
    </row>
    <row r="36" spans="1:11" x14ac:dyDescent="0.3">
      <c r="A36">
        <v>236</v>
      </c>
      <c r="B36" t="s">
        <v>934</v>
      </c>
      <c r="C36" t="s">
        <v>22</v>
      </c>
      <c r="D36" t="s">
        <v>592</v>
      </c>
      <c r="E36" t="s">
        <v>945</v>
      </c>
      <c r="F36" s="3" t="s">
        <v>975</v>
      </c>
      <c r="G36" t="s">
        <v>935</v>
      </c>
      <c r="H36" t="s">
        <v>549</v>
      </c>
      <c r="I36" s="2">
        <v>45658</v>
      </c>
      <c r="J36" t="s">
        <v>971</v>
      </c>
    </row>
    <row r="37" spans="1:11" x14ac:dyDescent="0.3">
      <c r="A37">
        <v>237</v>
      </c>
      <c r="B37" t="s">
        <v>934</v>
      </c>
      <c r="C37" t="s">
        <v>22</v>
      </c>
      <c r="D37" t="s">
        <v>592</v>
      </c>
      <c r="E37" t="s">
        <v>952</v>
      </c>
      <c r="F37" s="3" t="s">
        <v>976</v>
      </c>
      <c r="G37" t="s">
        <v>935</v>
      </c>
      <c r="H37" t="s">
        <v>549</v>
      </c>
      <c r="I37" s="2">
        <v>45658</v>
      </c>
      <c r="J37" t="s">
        <v>964</v>
      </c>
    </row>
    <row r="38" spans="1:11" x14ac:dyDescent="0.3">
      <c r="A38">
        <v>238</v>
      </c>
      <c r="B38" t="s">
        <v>934</v>
      </c>
      <c r="C38" t="s">
        <v>22</v>
      </c>
      <c r="D38" t="s">
        <v>592</v>
      </c>
      <c r="E38" t="s">
        <v>952</v>
      </c>
      <c r="F38" s="3" t="s">
        <v>977</v>
      </c>
      <c r="G38" t="s">
        <v>935</v>
      </c>
      <c r="H38" t="s">
        <v>549</v>
      </c>
      <c r="I38" s="2">
        <v>45658</v>
      </c>
      <c r="J38" t="s">
        <v>978</v>
      </c>
    </row>
    <row r="39" spans="1:11" x14ac:dyDescent="0.3">
      <c r="A39">
        <v>239</v>
      </c>
      <c r="B39" t="s">
        <v>934</v>
      </c>
      <c r="D39" t="s">
        <v>592</v>
      </c>
      <c r="E39" t="s">
        <v>979</v>
      </c>
      <c r="F39" s="3" t="s">
        <v>980</v>
      </c>
      <c r="G39" t="s">
        <v>935</v>
      </c>
      <c r="H39" t="s">
        <v>549</v>
      </c>
      <c r="I39" s="2">
        <v>45658</v>
      </c>
      <c r="J39" t="s">
        <v>971</v>
      </c>
    </row>
    <row r="40" spans="1:11" x14ac:dyDescent="0.3">
      <c r="A40">
        <v>240</v>
      </c>
      <c r="B40" t="s">
        <v>934</v>
      </c>
      <c r="C40" t="s">
        <v>577</v>
      </c>
      <c r="D40" t="s">
        <v>592</v>
      </c>
      <c r="E40" t="s">
        <v>945</v>
      </c>
      <c r="F40" s="3" t="s">
        <v>981</v>
      </c>
      <c r="G40" t="s">
        <v>935</v>
      </c>
      <c r="H40" t="s">
        <v>549</v>
      </c>
      <c r="I40" s="2">
        <v>45658</v>
      </c>
      <c r="J40" t="s">
        <v>971</v>
      </c>
    </row>
    <row r="41" spans="1:11" x14ac:dyDescent="0.3">
      <c r="A41">
        <v>241</v>
      </c>
      <c r="B41" t="s">
        <v>934</v>
      </c>
      <c r="C41" t="s">
        <v>22</v>
      </c>
      <c r="D41" t="s">
        <v>592</v>
      </c>
      <c r="E41" t="s">
        <v>945</v>
      </c>
      <c r="F41" s="3" t="s">
        <v>982</v>
      </c>
      <c r="G41" t="s">
        <v>935</v>
      </c>
      <c r="H41" t="s">
        <v>549</v>
      </c>
      <c r="I41" s="2">
        <v>45658</v>
      </c>
      <c r="J41" t="s">
        <v>971</v>
      </c>
    </row>
    <row r="42" spans="1:11" x14ac:dyDescent="0.3">
      <c r="A42">
        <v>242</v>
      </c>
      <c r="B42" t="s">
        <v>934</v>
      </c>
      <c r="C42" t="s">
        <v>22</v>
      </c>
      <c r="D42" t="s">
        <v>592</v>
      </c>
      <c r="E42" t="s">
        <v>983</v>
      </c>
      <c r="F42" s="3" t="s">
        <v>984</v>
      </c>
      <c r="G42" t="s">
        <v>935</v>
      </c>
      <c r="H42" t="s">
        <v>549</v>
      </c>
      <c r="I42" s="2">
        <v>45658</v>
      </c>
      <c r="J42" t="s">
        <v>964</v>
      </c>
    </row>
    <row r="43" spans="1:11" x14ac:dyDescent="0.3">
      <c r="A43">
        <v>243</v>
      </c>
      <c r="B43" t="s">
        <v>934</v>
      </c>
      <c r="C43" t="s">
        <v>985</v>
      </c>
      <c r="D43" t="s">
        <v>592</v>
      </c>
      <c r="E43" t="s">
        <v>983</v>
      </c>
      <c r="F43" s="3">
        <v>355978840945628</v>
      </c>
      <c r="G43" t="s">
        <v>935</v>
      </c>
      <c r="H43" t="s">
        <v>549</v>
      </c>
      <c r="I43" s="2">
        <v>45658</v>
      </c>
      <c r="J43" t="s">
        <v>964</v>
      </c>
    </row>
    <row r="44" spans="1:11" x14ac:dyDescent="0.3">
      <c r="A44" s="17">
        <v>244</v>
      </c>
      <c r="B44" s="17" t="s">
        <v>121</v>
      </c>
      <c r="C44" s="17" t="s">
        <v>22</v>
      </c>
      <c r="D44" s="17" t="s">
        <v>191</v>
      </c>
      <c r="E44" s="17" t="s">
        <v>598</v>
      </c>
      <c r="F44" s="18">
        <v>356485673725928</v>
      </c>
      <c r="G44" s="17" t="s">
        <v>550</v>
      </c>
      <c r="H44" s="17" t="s">
        <v>549</v>
      </c>
      <c r="I44" s="19">
        <v>45720</v>
      </c>
      <c r="J44" s="17" t="s">
        <v>551</v>
      </c>
    </row>
    <row r="45" spans="1:11" x14ac:dyDescent="0.3">
      <c r="A45" s="20" t="s">
        <v>914</v>
      </c>
      <c r="B45" s="17" t="s">
        <v>121</v>
      </c>
      <c r="C45" s="17" t="s">
        <v>22</v>
      </c>
      <c r="D45" s="17" t="s">
        <v>191</v>
      </c>
      <c r="E45" s="17" t="s">
        <v>630</v>
      </c>
      <c r="F45" s="18">
        <v>358091652600849</v>
      </c>
      <c r="G45" s="17" t="s">
        <v>935</v>
      </c>
      <c r="H45" s="17" t="s">
        <v>549</v>
      </c>
      <c r="I45" s="19">
        <v>45720</v>
      </c>
      <c r="J45" s="17" t="s">
        <v>551</v>
      </c>
    </row>
    <row r="46" spans="1:11" x14ac:dyDescent="0.3">
      <c r="A46" s="1" t="s">
        <v>845</v>
      </c>
      <c r="B46" s="21" t="s">
        <v>464</v>
      </c>
      <c r="C46" s="21" t="s">
        <v>22</v>
      </c>
      <c r="D46" s="21" t="s">
        <v>114</v>
      </c>
      <c r="E46" s="21" t="s">
        <v>844</v>
      </c>
      <c r="F46" s="3">
        <v>356029485569361</v>
      </c>
      <c r="G46" s="21" t="s">
        <v>935</v>
      </c>
      <c r="H46" s="21" t="s">
        <v>590</v>
      </c>
      <c r="I46" s="22">
        <v>45723</v>
      </c>
      <c r="J46" s="21" t="s">
        <v>551</v>
      </c>
    </row>
    <row r="47" spans="1:11" x14ac:dyDescent="0.3">
      <c r="A47" s="1">
        <v>245</v>
      </c>
      <c r="B47" s="21" t="s">
        <v>471</v>
      </c>
      <c r="C47" s="17" t="s">
        <v>22</v>
      </c>
      <c r="D47" s="21" t="s">
        <v>114</v>
      </c>
      <c r="E47" s="21" t="s">
        <v>844</v>
      </c>
      <c r="F47" s="3">
        <v>356029485261308</v>
      </c>
      <c r="G47" s="17" t="s">
        <v>550</v>
      </c>
      <c r="H47" s="17" t="s">
        <v>590</v>
      </c>
      <c r="I47" s="2">
        <v>45726</v>
      </c>
      <c r="J47" s="17" t="s">
        <v>551</v>
      </c>
      <c r="K47" t="s">
        <v>986</v>
      </c>
    </row>
    <row r="52" spans="5:5" x14ac:dyDescent="0.3">
      <c r="E52" t="s">
        <v>987</v>
      </c>
    </row>
    <row r="53" spans="5:5" x14ac:dyDescent="0.3">
      <c r="E53" t="s">
        <v>988</v>
      </c>
    </row>
    <row r="54" spans="5:5" x14ac:dyDescent="0.3">
      <c r="E54" t="s">
        <v>989</v>
      </c>
    </row>
    <row r="56" spans="5:5" x14ac:dyDescent="0.3">
      <c r="E56" t="s">
        <v>990</v>
      </c>
    </row>
    <row r="57" spans="5:5" x14ac:dyDescent="0.3">
      <c r="E57" t="s">
        <v>991</v>
      </c>
    </row>
    <row r="58" spans="5:5" x14ac:dyDescent="0.3">
      <c r="E58" t="s">
        <v>992</v>
      </c>
    </row>
    <row r="59" spans="5:5" x14ac:dyDescent="0.3">
      <c r="E59" t="s">
        <v>993</v>
      </c>
    </row>
    <row r="60" spans="5:5" x14ac:dyDescent="0.3">
      <c r="E60" t="s">
        <v>994</v>
      </c>
    </row>
    <row r="61" spans="5:5" x14ac:dyDescent="0.3">
      <c r="E61" t="s">
        <v>995</v>
      </c>
    </row>
    <row r="62" spans="5:5" x14ac:dyDescent="0.3">
      <c r="E62" t="s">
        <v>996</v>
      </c>
    </row>
    <row r="63" spans="5:5" x14ac:dyDescent="0.3">
      <c r="E63" t="s">
        <v>997</v>
      </c>
    </row>
    <row r="64" spans="5:5" x14ac:dyDescent="0.3">
      <c r="E64" t="s">
        <v>998</v>
      </c>
    </row>
    <row r="65" spans="5:5" x14ac:dyDescent="0.3">
      <c r="E65" t="s">
        <v>999</v>
      </c>
    </row>
    <row r="66" spans="5:5" x14ac:dyDescent="0.3">
      <c r="E66" t="s">
        <v>1000</v>
      </c>
    </row>
    <row r="67" spans="5:5" x14ac:dyDescent="0.3">
      <c r="E67" t="s">
        <v>1001</v>
      </c>
    </row>
    <row r="68" spans="5:5" x14ac:dyDescent="0.3">
      <c r="E68" t="s">
        <v>1002</v>
      </c>
    </row>
    <row r="69" spans="5:5" x14ac:dyDescent="0.3">
      <c r="E69" t="s">
        <v>1003</v>
      </c>
    </row>
    <row r="70" spans="5:5" x14ac:dyDescent="0.3">
      <c r="E70" t="s">
        <v>1004</v>
      </c>
    </row>
    <row r="71" spans="5:5" x14ac:dyDescent="0.3">
      <c r="E71" s="26">
        <f>300000*35%</f>
        <v>105000</v>
      </c>
    </row>
  </sheetData>
  <conditionalFormatting sqref="B163">
    <cfRule type="duplicateValues" dxfId="38" priority="4"/>
  </conditionalFormatting>
  <conditionalFormatting sqref="B164:B192 B2:B43 B48:B162">
    <cfRule type="duplicateValues" dxfId="37" priority="5"/>
  </conditionalFormatting>
  <conditionalFormatting sqref="F2:F44 F46">
    <cfRule type="duplicateValues" dxfId="36" priority="11"/>
  </conditionalFormatting>
  <conditionalFormatting sqref="F45">
    <cfRule type="duplicateValues" dxfId="35" priority="2"/>
  </conditionalFormatting>
  <conditionalFormatting sqref="F47">
    <cfRule type="duplicateValues" dxfId="34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3E9C-B5DA-4C78-B342-9F708AD82481}">
  <dimension ref="A1:M46"/>
  <sheetViews>
    <sheetView showGridLines="0" workbookViewId="0">
      <pane ySplit="1" topLeftCell="A2" activePane="bottomLeft" state="frozen"/>
      <selection pane="bottomLeft" activeCell="B2" sqref="B2:J43"/>
    </sheetView>
  </sheetViews>
  <sheetFormatPr defaultRowHeight="14.4" x14ac:dyDescent="0.3"/>
  <cols>
    <col min="1" max="1" width="4" bestFit="1" customWidth="1"/>
    <col min="2" max="2" width="12.33203125" bestFit="1" customWidth="1"/>
    <col min="3" max="3" width="9.5546875" bestFit="1" customWidth="1"/>
    <col min="4" max="4" width="15.6640625" bestFit="1" customWidth="1"/>
    <col min="5" max="5" width="33.88671875" bestFit="1" customWidth="1"/>
    <col min="6" max="6" width="16.109375" bestFit="1" customWidth="1"/>
    <col min="7" max="7" width="10.33203125" customWidth="1"/>
    <col min="8" max="8" width="10.5546875" bestFit="1" customWidth="1"/>
    <col min="9" max="9" width="17.6640625" bestFit="1" customWidth="1"/>
    <col min="10" max="10" width="19.6640625" customWidth="1"/>
    <col min="11" max="11" width="39.33203125" bestFit="1" customWidth="1"/>
    <col min="12" max="12" width="22.109375" bestFit="1" customWidth="1"/>
  </cols>
  <sheetData>
    <row r="1" spans="1:13" x14ac:dyDescent="0.3">
      <c r="A1" t="s">
        <v>530</v>
      </c>
      <c r="B1" t="s">
        <v>926</v>
      </c>
      <c r="C1" t="s">
        <v>4</v>
      </c>
      <c r="D1" t="s">
        <v>532</v>
      </c>
      <c r="E1" t="s">
        <v>533</v>
      </c>
      <c r="F1" t="s">
        <v>534</v>
      </c>
      <c r="G1" t="s">
        <v>927</v>
      </c>
      <c r="H1" t="s">
        <v>928</v>
      </c>
      <c r="I1" t="s">
        <v>929</v>
      </c>
      <c r="J1" t="s">
        <v>930</v>
      </c>
      <c r="K1" t="s">
        <v>931</v>
      </c>
      <c r="L1" t="s">
        <v>932</v>
      </c>
      <c r="M1" t="s">
        <v>933</v>
      </c>
    </row>
    <row r="2" spans="1:13" x14ac:dyDescent="0.3">
      <c r="A2">
        <v>200</v>
      </c>
      <c r="B2" t="s">
        <v>1005</v>
      </c>
      <c r="C2" t="s">
        <v>577</v>
      </c>
      <c r="D2" t="s">
        <v>191</v>
      </c>
      <c r="E2" t="s">
        <v>630</v>
      </c>
      <c r="F2" s="3">
        <v>358469523212749</v>
      </c>
      <c r="G2" t="s">
        <v>935</v>
      </c>
      <c r="H2" t="s">
        <v>549</v>
      </c>
      <c r="I2" s="2">
        <v>45658</v>
      </c>
    </row>
    <row r="3" spans="1:13" x14ac:dyDescent="0.3">
      <c r="A3">
        <v>201</v>
      </c>
      <c r="B3" t="s">
        <v>1006</v>
      </c>
      <c r="C3" t="s">
        <v>577</v>
      </c>
      <c r="D3" t="s">
        <v>585</v>
      </c>
      <c r="E3" t="s">
        <v>586</v>
      </c>
      <c r="F3" s="3">
        <v>355978840905119</v>
      </c>
      <c r="G3" t="s">
        <v>935</v>
      </c>
      <c r="H3" t="s">
        <v>590</v>
      </c>
      <c r="I3" s="2">
        <v>45658</v>
      </c>
      <c r="J3" t="s">
        <v>936</v>
      </c>
    </row>
    <row r="4" spans="1:13" x14ac:dyDescent="0.3">
      <c r="A4">
        <v>202</v>
      </c>
      <c r="B4" t="s">
        <v>1007</v>
      </c>
      <c r="C4" t="s">
        <v>577</v>
      </c>
      <c r="D4" t="s">
        <v>585</v>
      </c>
      <c r="E4" t="s">
        <v>586</v>
      </c>
      <c r="F4" s="3">
        <v>355978840887846</v>
      </c>
      <c r="G4" t="s">
        <v>935</v>
      </c>
      <c r="H4" t="s">
        <v>590</v>
      </c>
      <c r="I4" s="2">
        <v>45658</v>
      </c>
    </row>
    <row r="5" spans="1:13" x14ac:dyDescent="0.3">
      <c r="A5">
        <v>203</v>
      </c>
      <c r="B5" t="s">
        <v>1008</v>
      </c>
      <c r="C5" t="s">
        <v>577</v>
      </c>
      <c r="D5" t="s">
        <v>585</v>
      </c>
      <c r="E5" t="s">
        <v>586</v>
      </c>
      <c r="F5" s="3">
        <v>355978840949604</v>
      </c>
      <c r="G5" t="s">
        <v>935</v>
      </c>
      <c r="H5" t="s">
        <v>590</v>
      </c>
      <c r="I5" s="2">
        <v>45658</v>
      </c>
    </row>
    <row r="6" spans="1:13" x14ac:dyDescent="0.3">
      <c r="A6">
        <v>204</v>
      </c>
      <c r="B6" t="s">
        <v>1009</v>
      </c>
      <c r="C6" t="s">
        <v>577</v>
      </c>
      <c r="D6" t="s">
        <v>585</v>
      </c>
      <c r="E6" t="s">
        <v>586</v>
      </c>
      <c r="F6" s="3">
        <v>355978840888265</v>
      </c>
      <c r="G6" t="s">
        <v>935</v>
      </c>
      <c r="H6" t="s">
        <v>590</v>
      </c>
      <c r="I6" s="2">
        <v>45658</v>
      </c>
    </row>
    <row r="7" spans="1:13" x14ac:dyDescent="0.3">
      <c r="A7">
        <v>205</v>
      </c>
      <c r="B7" t="s">
        <v>1010</v>
      </c>
      <c r="C7" t="s">
        <v>577</v>
      </c>
      <c r="D7" t="s">
        <v>40</v>
      </c>
      <c r="E7" t="s">
        <v>937</v>
      </c>
      <c r="F7" s="3">
        <v>351082126308546</v>
      </c>
      <c r="G7" t="s">
        <v>935</v>
      </c>
      <c r="H7" t="s">
        <v>549</v>
      </c>
      <c r="I7" s="2">
        <v>45658</v>
      </c>
      <c r="J7" t="s">
        <v>938</v>
      </c>
    </row>
    <row r="8" spans="1:13" x14ac:dyDescent="0.3">
      <c r="A8">
        <v>207</v>
      </c>
      <c r="B8" t="s">
        <v>934</v>
      </c>
      <c r="C8" t="s">
        <v>577</v>
      </c>
      <c r="D8" t="s">
        <v>592</v>
      </c>
      <c r="E8" t="s">
        <v>939</v>
      </c>
      <c r="F8" s="3" t="s">
        <v>940</v>
      </c>
      <c r="G8" t="s">
        <v>935</v>
      </c>
      <c r="H8" t="s">
        <v>549</v>
      </c>
      <c r="I8" s="2">
        <v>45658</v>
      </c>
    </row>
    <row r="9" spans="1:13" x14ac:dyDescent="0.3">
      <c r="A9">
        <v>208</v>
      </c>
      <c r="B9" t="s">
        <v>934</v>
      </c>
      <c r="C9" t="s">
        <v>577</v>
      </c>
      <c r="D9" t="s">
        <v>592</v>
      </c>
      <c r="E9" t="s">
        <v>939</v>
      </c>
      <c r="F9" s="3" t="s">
        <v>941</v>
      </c>
      <c r="G9" t="s">
        <v>935</v>
      </c>
      <c r="H9" t="s">
        <v>549</v>
      </c>
      <c r="I9" s="2">
        <v>45658</v>
      </c>
    </row>
    <row r="10" spans="1:13" x14ac:dyDescent="0.3">
      <c r="A10">
        <v>209</v>
      </c>
      <c r="B10" t="s">
        <v>934</v>
      </c>
      <c r="C10" t="s">
        <v>942</v>
      </c>
      <c r="D10" t="s">
        <v>592</v>
      </c>
      <c r="E10" t="s">
        <v>943</v>
      </c>
      <c r="F10" s="3" t="s">
        <v>944</v>
      </c>
      <c r="G10" t="s">
        <v>935</v>
      </c>
      <c r="H10" t="s">
        <v>549</v>
      </c>
      <c r="I10" s="2">
        <v>45658</v>
      </c>
    </row>
    <row r="11" spans="1:13" x14ac:dyDescent="0.3">
      <c r="A11">
        <v>210</v>
      </c>
      <c r="B11" t="s">
        <v>934</v>
      </c>
      <c r="C11" t="s">
        <v>22</v>
      </c>
      <c r="D11" t="s">
        <v>592</v>
      </c>
      <c r="E11" t="s">
        <v>945</v>
      </c>
      <c r="F11" s="3" t="s">
        <v>946</v>
      </c>
      <c r="G11" t="s">
        <v>935</v>
      </c>
      <c r="H11" t="s">
        <v>549</v>
      </c>
      <c r="I11" s="2">
        <v>45658</v>
      </c>
    </row>
    <row r="12" spans="1:13" x14ac:dyDescent="0.3">
      <c r="A12">
        <v>211</v>
      </c>
      <c r="B12" t="s">
        <v>934</v>
      </c>
      <c r="C12" t="s">
        <v>577</v>
      </c>
      <c r="D12" t="s">
        <v>592</v>
      </c>
      <c r="E12" t="s">
        <v>945</v>
      </c>
      <c r="F12" s="3" t="s">
        <v>947</v>
      </c>
      <c r="G12" t="s">
        <v>935</v>
      </c>
      <c r="H12" t="s">
        <v>549</v>
      </c>
      <c r="I12" s="2">
        <v>45658</v>
      </c>
    </row>
    <row r="13" spans="1:13" x14ac:dyDescent="0.3">
      <c r="A13">
        <v>212</v>
      </c>
      <c r="B13" t="s">
        <v>934</v>
      </c>
      <c r="C13" t="s">
        <v>22</v>
      </c>
      <c r="D13" t="s">
        <v>191</v>
      </c>
      <c r="E13" t="s">
        <v>948</v>
      </c>
      <c r="F13" s="3" t="s">
        <v>949</v>
      </c>
      <c r="G13" t="s">
        <v>935</v>
      </c>
      <c r="H13" t="s">
        <v>549</v>
      </c>
      <c r="I13" s="2">
        <v>45658</v>
      </c>
    </row>
    <row r="14" spans="1:13" x14ac:dyDescent="0.3">
      <c r="A14">
        <v>213</v>
      </c>
      <c r="B14" t="s">
        <v>934</v>
      </c>
      <c r="C14" t="s">
        <v>22</v>
      </c>
      <c r="D14" t="s">
        <v>191</v>
      </c>
      <c r="E14" t="s">
        <v>950</v>
      </c>
      <c r="F14" s="3" t="s">
        <v>951</v>
      </c>
      <c r="G14" t="s">
        <v>935</v>
      </c>
      <c r="H14" t="s">
        <v>549</v>
      </c>
      <c r="I14" s="2">
        <v>45658</v>
      </c>
    </row>
    <row r="15" spans="1:13" x14ac:dyDescent="0.3">
      <c r="A15">
        <v>214</v>
      </c>
      <c r="B15" t="s">
        <v>934</v>
      </c>
      <c r="C15" t="s">
        <v>22</v>
      </c>
      <c r="D15" t="s">
        <v>592</v>
      </c>
      <c r="E15" t="s">
        <v>952</v>
      </c>
      <c r="F15" s="3" t="s">
        <v>953</v>
      </c>
      <c r="G15" t="s">
        <v>935</v>
      </c>
      <c r="H15" t="s">
        <v>549</v>
      </c>
      <c r="I15" s="2">
        <v>45658</v>
      </c>
    </row>
    <row r="16" spans="1:13" x14ac:dyDescent="0.3">
      <c r="A16">
        <v>216</v>
      </c>
      <c r="B16" t="s">
        <v>1011</v>
      </c>
      <c r="C16" t="s">
        <v>22</v>
      </c>
      <c r="D16" t="s">
        <v>191</v>
      </c>
      <c r="E16" t="s">
        <v>954</v>
      </c>
      <c r="F16" s="3">
        <v>350422143443614</v>
      </c>
      <c r="G16" t="s">
        <v>935</v>
      </c>
      <c r="H16" t="s">
        <v>549</v>
      </c>
      <c r="I16" s="2">
        <v>45658</v>
      </c>
      <c r="J16" t="s">
        <v>955</v>
      </c>
    </row>
    <row r="17" spans="1:10" x14ac:dyDescent="0.3">
      <c r="A17">
        <v>217</v>
      </c>
      <c r="B17" t="s">
        <v>197</v>
      </c>
      <c r="C17" t="s">
        <v>22</v>
      </c>
      <c r="D17" t="s">
        <v>592</v>
      </c>
      <c r="E17" t="s">
        <v>611</v>
      </c>
      <c r="F17" s="3">
        <v>351082121083334</v>
      </c>
      <c r="G17" t="s">
        <v>935</v>
      </c>
      <c r="H17" t="s">
        <v>549</v>
      </c>
      <c r="I17" s="2">
        <v>45658</v>
      </c>
      <c r="J17" t="s">
        <v>955</v>
      </c>
    </row>
    <row r="18" spans="1:10" x14ac:dyDescent="0.3">
      <c r="A18">
        <v>218</v>
      </c>
      <c r="B18" t="s">
        <v>200</v>
      </c>
      <c r="C18" t="s">
        <v>22</v>
      </c>
      <c r="D18" t="s">
        <v>592</v>
      </c>
      <c r="E18" t="s">
        <v>611</v>
      </c>
      <c r="F18" s="3">
        <v>351082120960722</v>
      </c>
      <c r="G18" t="s">
        <v>935</v>
      </c>
      <c r="H18" t="s">
        <v>549</v>
      </c>
      <c r="I18" s="2">
        <v>45658</v>
      </c>
      <c r="J18" t="s">
        <v>955</v>
      </c>
    </row>
    <row r="19" spans="1:10" x14ac:dyDescent="0.3">
      <c r="A19">
        <v>219</v>
      </c>
      <c r="B19" t="s">
        <v>221</v>
      </c>
      <c r="C19" t="s">
        <v>22</v>
      </c>
      <c r="D19" t="s">
        <v>592</v>
      </c>
      <c r="E19" t="s">
        <v>611</v>
      </c>
      <c r="F19" s="3">
        <v>351082120939429</v>
      </c>
      <c r="G19" t="s">
        <v>935</v>
      </c>
      <c r="H19" t="s">
        <v>549</v>
      </c>
      <c r="I19" s="2">
        <v>45658</v>
      </c>
      <c r="J19" t="s">
        <v>955</v>
      </c>
    </row>
    <row r="20" spans="1:10" x14ac:dyDescent="0.3">
      <c r="A20">
        <v>220</v>
      </c>
      <c r="C20" t="s">
        <v>577</v>
      </c>
      <c r="D20" t="s">
        <v>585</v>
      </c>
      <c r="E20" t="s">
        <v>586</v>
      </c>
      <c r="F20" s="3">
        <v>355978840949711</v>
      </c>
      <c r="G20" t="s">
        <v>935</v>
      </c>
      <c r="H20" t="s">
        <v>549</v>
      </c>
      <c r="I20" s="2">
        <v>45658</v>
      </c>
      <c r="J20" t="s">
        <v>955</v>
      </c>
    </row>
    <row r="21" spans="1:10" x14ac:dyDescent="0.3">
      <c r="A21">
        <v>221</v>
      </c>
      <c r="B21" t="s">
        <v>787</v>
      </c>
      <c r="C21" t="s">
        <v>577</v>
      </c>
      <c r="D21" t="s">
        <v>585</v>
      </c>
      <c r="E21" t="s">
        <v>586</v>
      </c>
      <c r="F21" s="3">
        <v>355978840923146</v>
      </c>
      <c r="G21" t="s">
        <v>935</v>
      </c>
      <c r="H21" t="s">
        <v>549</v>
      </c>
      <c r="I21" s="2">
        <v>45658</v>
      </c>
      <c r="J21" t="s">
        <v>955</v>
      </c>
    </row>
    <row r="22" spans="1:10" x14ac:dyDescent="0.3">
      <c r="A22">
        <v>222</v>
      </c>
      <c r="B22" t="s">
        <v>779</v>
      </c>
      <c r="C22" t="s">
        <v>577</v>
      </c>
      <c r="D22" t="s">
        <v>585</v>
      </c>
      <c r="E22" t="s">
        <v>586</v>
      </c>
      <c r="F22" s="3">
        <v>355978840939803</v>
      </c>
      <c r="G22" t="s">
        <v>935</v>
      </c>
      <c r="H22" t="s">
        <v>549</v>
      </c>
      <c r="I22" s="2">
        <v>45658</v>
      </c>
      <c r="J22" t="s">
        <v>955</v>
      </c>
    </row>
    <row r="23" spans="1:10" x14ac:dyDescent="0.3">
      <c r="A23">
        <v>223</v>
      </c>
      <c r="B23" t="s">
        <v>1012</v>
      </c>
      <c r="C23" t="s">
        <v>577</v>
      </c>
      <c r="D23" t="s">
        <v>585</v>
      </c>
      <c r="E23" t="s">
        <v>586</v>
      </c>
      <c r="F23" s="3">
        <v>355978840893695</v>
      </c>
      <c r="G23" t="s">
        <v>935</v>
      </c>
      <c r="H23" t="s">
        <v>549</v>
      </c>
      <c r="I23" s="2">
        <v>45658</v>
      </c>
      <c r="J23" t="s">
        <v>956</v>
      </c>
    </row>
    <row r="24" spans="1:10" x14ac:dyDescent="0.3">
      <c r="A24">
        <v>224</v>
      </c>
      <c r="B24" t="s">
        <v>934</v>
      </c>
      <c r="C24" t="s">
        <v>22</v>
      </c>
      <c r="D24" t="s">
        <v>592</v>
      </c>
      <c r="E24" t="s">
        <v>848</v>
      </c>
      <c r="F24" s="3" t="s">
        <v>957</v>
      </c>
      <c r="G24" t="s">
        <v>935</v>
      </c>
      <c r="H24" t="s">
        <v>549</v>
      </c>
      <c r="I24" s="2">
        <v>45658</v>
      </c>
      <c r="J24" t="s">
        <v>956</v>
      </c>
    </row>
    <row r="25" spans="1:10" x14ac:dyDescent="0.3">
      <c r="A25">
        <v>225</v>
      </c>
      <c r="B25" t="s">
        <v>934</v>
      </c>
      <c r="C25" t="s">
        <v>22</v>
      </c>
      <c r="D25" t="s">
        <v>592</v>
      </c>
      <c r="E25" t="s">
        <v>952</v>
      </c>
      <c r="F25" s="3" t="s">
        <v>958</v>
      </c>
      <c r="G25" t="s">
        <v>935</v>
      </c>
      <c r="H25" t="s">
        <v>549</v>
      </c>
      <c r="I25" s="2">
        <v>45658</v>
      </c>
      <c r="J25" t="s">
        <v>956</v>
      </c>
    </row>
    <row r="26" spans="1:10" x14ac:dyDescent="0.3">
      <c r="A26">
        <v>226</v>
      </c>
      <c r="B26" t="s">
        <v>934</v>
      </c>
      <c r="C26" t="s">
        <v>577</v>
      </c>
      <c r="D26" t="s">
        <v>592</v>
      </c>
      <c r="E26" t="s">
        <v>939</v>
      </c>
      <c r="F26" s="3" t="s">
        <v>959</v>
      </c>
      <c r="G26" t="s">
        <v>935</v>
      </c>
      <c r="H26" t="s">
        <v>549</v>
      </c>
      <c r="I26" s="2">
        <v>45658</v>
      </c>
      <c r="J26" t="s">
        <v>960</v>
      </c>
    </row>
    <row r="27" spans="1:10" x14ac:dyDescent="0.3">
      <c r="A27">
        <v>227</v>
      </c>
      <c r="B27" t="s">
        <v>934</v>
      </c>
      <c r="C27" t="s">
        <v>577</v>
      </c>
      <c r="D27" t="s">
        <v>592</v>
      </c>
      <c r="E27" t="s">
        <v>961</v>
      </c>
      <c r="F27" s="3" t="s">
        <v>962</v>
      </c>
      <c r="G27" t="s">
        <v>935</v>
      </c>
      <c r="H27" t="s">
        <v>549</v>
      </c>
      <c r="I27" s="2">
        <v>45658</v>
      </c>
      <c r="J27" t="s">
        <v>956</v>
      </c>
    </row>
    <row r="28" spans="1:10" x14ac:dyDescent="0.3">
      <c r="A28">
        <v>228</v>
      </c>
      <c r="B28" t="s">
        <v>934</v>
      </c>
      <c r="C28" t="s">
        <v>22</v>
      </c>
      <c r="D28" t="s">
        <v>592</v>
      </c>
      <c r="E28" t="s">
        <v>952</v>
      </c>
      <c r="F28" s="3" t="s">
        <v>963</v>
      </c>
      <c r="G28" t="s">
        <v>935</v>
      </c>
      <c r="H28" t="s">
        <v>549</v>
      </c>
      <c r="I28" s="2">
        <v>45658</v>
      </c>
      <c r="J28" t="s">
        <v>964</v>
      </c>
    </row>
    <row r="29" spans="1:10" x14ac:dyDescent="0.3">
      <c r="A29">
        <v>229</v>
      </c>
      <c r="B29" t="s">
        <v>934</v>
      </c>
      <c r="C29" t="s">
        <v>577</v>
      </c>
      <c r="D29" t="s">
        <v>592</v>
      </c>
      <c r="E29" t="s">
        <v>939</v>
      </c>
      <c r="F29" s="3" t="s">
        <v>965</v>
      </c>
      <c r="G29" t="s">
        <v>935</v>
      </c>
      <c r="H29" t="s">
        <v>549</v>
      </c>
      <c r="I29" s="2">
        <v>45658</v>
      </c>
      <c r="J29" t="s">
        <v>964</v>
      </c>
    </row>
    <row r="30" spans="1:10" x14ac:dyDescent="0.3">
      <c r="A30">
        <v>230</v>
      </c>
      <c r="B30" t="s">
        <v>934</v>
      </c>
      <c r="C30" t="s">
        <v>22</v>
      </c>
      <c r="D30" t="s">
        <v>592</v>
      </c>
      <c r="E30" t="s">
        <v>945</v>
      </c>
      <c r="F30" s="3" t="s">
        <v>966</v>
      </c>
      <c r="G30" t="s">
        <v>935</v>
      </c>
      <c r="H30" t="s">
        <v>549</v>
      </c>
      <c r="I30" s="2">
        <v>45658</v>
      </c>
      <c r="J30" t="s">
        <v>964</v>
      </c>
    </row>
    <row r="31" spans="1:10" x14ac:dyDescent="0.3">
      <c r="A31">
        <v>231</v>
      </c>
      <c r="B31" t="s">
        <v>934</v>
      </c>
      <c r="C31" t="s">
        <v>22</v>
      </c>
      <c r="D31" t="s">
        <v>592</v>
      </c>
      <c r="E31" t="s">
        <v>952</v>
      </c>
      <c r="F31" s="3" t="s">
        <v>967</v>
      </c>
      <c r="G31" t="s">
        <v>935</v>
      </c>
      <c r="H31" t="s">
        <v>549</v>
      </c>
      <c r="I31" s="2">
        <v>45658</v>
      </c>
      <c r="J31" t="s">
        <v>968</v>
      </c>
    </row>
    <row r="32" spans="1:10" x14ac:dyDescent="0.3">
      <c r="A32">
        <v>232</v>
      </c>
      <c r="B32" t="s">
        <v>934</v>
      </c>
      <c r="C32" t="s">
        <v>22</v>
      </c>
      <c r="D32" t="s">
        <v>592</v>
      </c>
      <c r="E32" t="s">
        <v>969</v>
      </c>
      <c r="F32" s="3" t="s">
        <v>970</v>
      </c>
      <c r="G32" t="s">
        <v>935</v>
      </c>
      <c r="H32" t="s">
        <v>549</v>
      </c>
      <c r="I32" s="2">
        <v>45658</v>
      </c>
      <c r="J32" t="s">
        <v>971</v>
      </c>
    </row>
    <row r="33" spans="1:11" x14ac:dyDescent="0.3">
      <c r="A33">
        <v>233</v>
      </c>
      <c r="B33" t="s">
        <v>934</v>
      </c>
      <c r="C33" t="s">
        <v>577</v>
      </c>
      <c r="D33" t="s">
        <v>592</v>
      </c>
      <c r="E33" t="s">
        <v>939</v>
      </c>
      <c r="F33" s="3" t="s">
        <v>972</v>
      </c>
      <c r="G33" t="s">
        <v>935</v>
      </c>
      <c r="H33" t="s">
        <v>549</v>
      </c>
      <c r="I33" s="2">
        <v>45658</v>
      </c>
      <c r="J33" t="s">
        <v>971</v>
      </c>
    </row>
    <row r="34" spans="1:11" x14ac:dyDescent="0.3">
      <c r="A34">
        <v>234</v>
      </c>
      <c r="B34" t="s">
        <v>934</v>
      </c>
      <c r="C34" t="s">
        <v>22</v>
      </c>
      <c r="D34" t="s">
        <v>592</v>
      </c>
      <c r="E34" t="s">
        <v>952</v>
      </c>
      <c r="F34" s="3" t="s">
        <v>973</v>
      </c>
      <c r="G34" t="s">
        <v>935</v>
      </c>
      <c r="H34" t="s">
        <v>549</v>
      </c>
      <c r="I34" s="2">
        <v>45658</v>
      </c>
      <c r="J34" t="s">
        <v>971</v>
      </c>
    </row>
    <row r="35" spans="1:11" x14ac:dyDescent="0.3">
      <c r="A35">
        <v>235</v>
      </c>
      <c r="B35" t="s">
        <v>934</v>
      </c>
      <c r="C35" t="s">
        <v>22</v>
      </c>
      <c r="D35" t="s">
        <v>592</v>
      </c>
      <c r="E35" t="s">
        <v>952</v>
      </c>
      <c r="F35" s="3" t="s">
        <v>974</v>
      </c>
      <c r="G35" t="s">
        <v>935</v>
      </c>
      <c r="H35" t="s">
        <v>549</v>
      </c>
      <c r="I35" s="2">
        <v>45658</v>
      </c>
      <c r="J35" t="s">
        <v>971</v>
      </c>
    </row>
    <row r="36" spans="1:11" x14ac:dyDescent="0.3">
      <c r="A36">
        <v>236</v>
      </c>
      <c r="B36" t="s">
        <v>934</v>
      </c>
      <c r="C36" t="s">
        <v>22</v>
      </c>
      <c r="D36" t="s">
        <v>592</v>
      </c>
      <c r="E36" t="s">
        <v>945</v>
      </c>
      <c r="F36" s="3" t="s">
        <v>975</v>
      </c>
      <c r="G36" t="s">
        <v>935</v>
      </c>
      <c r="H36" t="s">
        <v>549</v>
      </c>
      <c r="I36" s="2">
        <v>45658</v>
      </c>
      <c r="J36" t="s">
        <v>971</v>
      </c>
    </row>
    <row r="37" spans="1:11" x14ac:dyDescent="0.3">
      <c r="A37">
        <v>237</v>
      </c>
      <c r="B37" t="s">
        <v>934</v>
      </c>
      <c r="C37" t="s">
        <v>22</v>
      </c>
      <c r="D37" t="s">
        <v>592</v>
      </c>
      <c r="E37" t="s">
        <v>952</v>
      </c>
      <c r="F37" s="3" t="s">
        <v>976</v>
      </c>
      <c r="G37" t="s">
        <v>935</v>
      </c>
      <c r="H37" t="s">
        <v>549</v>
      </c>
      <c r="I37" s="2">
        <v>45658</v>
      </c>
      <c r="J37" t="s">
        <v>964</v>
      </c>
    </row>
    <row r="38" spans="1:11" x14ac:dyDescent="0.3">
      <c r="A38">
        <v>238</v>
      </c>
      <c r="B38" t="s">
        <v>934</v>
      </c>
      <c r="C38" t="s">
        <v>22</v>
      </c>
      <c r="D38" t="s">
        <v>592</v>
      </c>
      <c r="E38" t="s">
        <v>952</v>
      </c>
      <c r="F38" s="3" t="s">
        <v>977</v>
      </c>
      <c r="G38" t="s">
        <v>935</v>
      </c>
      <c r="H38" t="s">
        <v>549</v>
      </c>
      <c r="I38" s="2">
        <v>45658</v>
      </c>
      <c r="J38" t="s">
        <v>978</v>
      </c>
    </row>
    <row r="39" spans="1:11" x14ac:dyDescent="0.3">
      <c r="A39">
        <v>239</v>
      </c>
      <c r="B39" t="s">
        <v>934</v>
      </c>
      <c r="D39" t="s">
        <v>592</v>
      </c>
      <c r="E39" t="s">
        <v>979</v>
      </c>
      <c r="F39" s="3" t="s">
        <v>980</v>
      </c>
      <c r="G39" t="s">
        <v>935</v>
      </c>
      <c r="H39" t="s">
        <v>549</v>
      </c>
      <c r="I39" s="2">
        <v>45658</v>
      </c>
      <c r="J39" t="s">
        <v>971</v>
      </c>
    </row>
    <row r="40" spans="1:11" x14ac:dyDescent="0.3">
      <c r="A40">
        <v>240</v>
      </c>
      <c r="B40" t="s">
        <v>934</v>
      </c>
      <c r="C40" t="s">
        <v>577</v>
      </c>
      <c r="D40" t="s">
        <v>592</v>
      </c>
      <c r="E40" t="s">
        <v>945</v>
      </c>
      <c r="F40" s="3" t="s">
        <v>981</v>
      </c>
      <c r="G40" t="s">
        <v>935</v>
      </c>
      <c r="H40" t="s">
        <v>549</v>
      </c>
      <c r="I40" s="2">
        <v>45658</v>
      </c>
      <c r="J40" t="s">
        <v>971</v>
      </c>
    </row>
    <row r="41" spans="1:11" x14ac:dyDescent="0.3">
      <c r="A41">
        <v>241</v>
      </c>
      <c r="B41" t="s">
        <v>934</v>
      </c>
      <c r="C41" t="s">
        <v>22</v>
      </c>
      <c r="D41" t="s">
        <v>592</v>
      </c>
      <c r="E41" t="s">
        <v>945</v>
      </c>
      <c r="F41" s="3" t="s">
        <v>982</v>
      </c>
      <c r="G41" t="s">
        <v>935</v>
      </c>
      <c r="H41" t="s">
        <v>549</v>
      </c>
      <c r="I41" s="2">
        <v>45658</v>
      </c>
      <c r="J41" t="s">
        <v>971</v>
      </c>
    </row>
    <row r="42" spans="1:11" x14ac:dyDescent="0.3">
      <c r="A42">
        <v>242</v>
      </c>
      <c r="B42" t="s">
        <v>934</v>
      </c>
      <c r="C42" t="s">
        <v>22</v>
      </c>
      <c r="D42" t="s">
        <v>592</v>
      </c>
      <c r="E42" t="s">
        <v>983</v>
      </c>
      <c r="F42" s="3" t="s">
        <v>984</v>
      </c>
      <c r="G42" t="s">
        <v>935</v>
      </c>
      <c r="H42" t="s">
        <v>549</v>
      </c>
      <c r="I42" s="2">
        <v>45658</v>
      </c>
      <c r="J42" t="s">
        <v>964</v>
      </c>
    </row>
    <row r="43" spans="1:11" x14ac:dyDescent="0.3">
      <c r="A43">
        <v>243</v>
      </c>
      <c r="B43" t="s">
        <v>934</v>
      </c>
      <c r="C43" t="s">
        <v>985</v>
      </c>
      <c r="D43" t="s">
        <v>592</v>
      </c>
      <c r="E43" t="s">
        <v>983</v>
      </c>
      <c r="F43" s="3">
        <v>355978840945628</v>
      </c>
      <c r="G43" t="s">
        <v>935</v>
      </c>
      <c r="H43" t="s">
        <v>549</v>
      </c>
      <c r="I43" s="2">
        <v>45658</v>
      </c>
      <c r="J43" t="s">
        <v>964</v>
      </c>
    </row>
    <row r="44" spans="1:11" x14ac:dyDescent="0.3">
      <c r="A44" s="17">
        <v>244</v>
      </c>
      <c r="B44" s="17" t="s">
        <v>121</v>
      </c>
      <c r="C44" s="17" t="s">
        <v>22</v>
      </c>
      <c r="D44" s="17" t="s">
        <v>191</v>
      </c>
      <c r="E44" s="17" t="s">
        <v>598</v>
      </c>
      <c r="F44" s="18">
        <v>356485673725928</v>
      </c>
      <c r="G44" s="17" t="s">
        <v>550</v>
      </c>
      <c r="H44" s="17" t="s">
        <v>549</v>
      </c>
      <c r="I44" s="19">
        <v>45720</v>
      </c>
      <c r="J44" s="17" t="s">
        <v>551</v>
      </c>
    </row>
    <row r="45" spans="1:11" x14ac:dyDescent="0.3">
      <c r="A45" s="20" t="s">
        <v>914</v>
      </c>
      <c r="B45" s="17" t="s">
        <v>121</v>
      </c>
      <c r="C45" s="17" t="s">
        <v>22</v>
      </c>
      <c r="D45" s="17" t="s">
        <v>191</v>
      </c>
      <c r="E45" s="17" t="s">
        <v>630</v>
      </c>
      <c r="F45" s="18">
        <v>358091652600849</v>
      </c>
      <c r="G45" s="17" t="s">
        <v>935</v>
      </c>
      <c r="H45" s="17" t="s">
        <v>549</v>
      </c>
      <c r="I45" s="19">
        <v>45720</v>
      </c>
      <c r="J45" s="17" t="s">
        <v>551</v>
      </c>
    </row>
    <row r="46" spans="1:11" x14ac:dyDescent="0.3">
      <c r="A46" s="17">
        <v>245</v>
      </c>
      <c r="B46" s="17"/>
      <c r="C46" s="17" t="s">
        <v>22</v>
      </c>
      <c r="D46" s="17" t="s">
        <v>114</v>
      </c>
      <c r="E46" s="17" t="s">
        <v>844</v>
      </c>
      <c r="F46" s="18">
        <v>356029485569361</v>
      </c>
      <c r="G46" s="17" t="s">
        <v>550</v>
      </c>
      <c r="H46" s="17" t="s">
        <v>590</v>
      </c>
      <c r="I46" s="19">
        <v>45723</v>
      </c>
      <c r="J46" s="17" t="s">
        <v>551</v>
      </c>
      <c r="K46" t="s">
        <v>986</v>
      </c>
    </row>
  </sheetData>
  <conditionalFormatting sqref="B163">
    <cfRule type="duplicateValues" dxfId="33" priority="2"/>
  </conditionalFormatting>
  <conditionalFormatting sqref="B164:B192 B3:B43 B46:B162">
    <cfRule type="duplicateValues" dxfId="32" priority="3"/>
  </conditionalFormatting>
  <conditionalFormatting sqref="F2:F44 F46">
    <cfRule type="duplicateValues" dxfId="31" priority="4"/>
  </conditionalFormatting>
  <conditionalFormatting sqref="F45">
    <cfRule type="duplicateValues" dxfId="30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D793-554C-4648-BD47-C4B82256D018}">
  <dimension ref="A1:I15"/>
  <sheetViews>
    <sheetView showGridLines="0" workbookViewId="0">
      <selection activeCell="A16" sqref="A16:F18"/>
    </sheetView>
  </sheetViews>
  <sheetFormatPr defaultRowHeight="14.4" x14ac:dyDescent="0.3"/>
  <cols>
    <col min="1" max="1" width="32" bestFit="1" customWidth="1"/>
    <col min="2" max="2" width="13.109375" bestFit="1" customWidth="1"/>
    <col min="3" max="3" width="37.33203125" bestFit="1" customWidth="1"/>
    <col min="4" max="4" width="14.33203125" bestFit="1" customWidth="1"/>
    <col min="5" max="5" width="16.109375" bestFit="1" customWidth="1"/>
    <col min="6" max="6" width="29" bestFit="1" customWidth="1"/>
    <col min="7" max="7" width="8" bestFit="1" customWidth="1"/>
    <col min="8" max="8" width="11.5546875" bestFit="1" customWidth="1"/>
  </cols>
  <sheetData>
    <row r="1" spans="1:9" x14ac:dyDescent="0.3">
      <c r="A1" s="27" t="s">
        <v>535</v>
      </c>
      <c r="B1" s="27" t="s">
        <v>1013</v>
      </c>
      <c r="C1" s="27" t="s">
        <v>533</v>
      </c>
      <c r="D1" s="27" t="s">
        <v>531</v>
      </c>
      <c r="E1" s="27" t="s">
        <v>534</v>
      </c>
      <c r="F1" s="27" t="s">
        <v>1014</v>
      </c>
      <c r="G1" s="27" t="s">
        <v>1015</v>
      </c>
      <c r="H1" s="27" t="s">
        <v>1016</v>
      </c>
    </row>
    <row r="2" spans="1:9" x14ac:dyDescent="0.3">
      <c r="A2" s="141" t="s">
        <v>1017</v>
      </c>
      <c r="B2" s="141"/>
      <c r="C2" s="141"/>
      <c r="D2" s="141"/>
      <c r="E2" s="141"/>
      <c r="F2" s="141"/>
      <c r="G2" s="141"/>
      <c r="H2" s="141"/>
    </row>
    <row r="3" spans="1:9" x14ac:dyDescent="0.3">
      <c r="A3" t="s">
        <v>581</v>
      </c>
      <c r="B3" t="s">
        <v>191</v>
      </c>
      <c r="C3" t="s">
        <v>580</v>
      </c>
      <c r="D3" t="s">
        <v>117</v>
      </c>
      <c r="E3" s="3">
        <v>353547798360296</v>
      </c>
      <c r="G3" t="s">
        <v>1018</v>
      </c>
      <c r="I3" s="34"/>
    </row>
    <row r="4" spans="1:9" x14ac:dyDescent="0.3">
      <c r="A4" t="s">
        <v>788</v>
      </c>
      <c r="B4" t="s">
        <v>585</v>
      </c>
      <c r="C4" t="s">
        <v>586</v>
      </c>
      <c r="D4" t="s">
        <v>787</v>
      </c>
      <c r="E4" s="3">
        <v>355978840923146</v>
      </c>
      <c r="G4" t="s">
        <v>1018</v>
      </c>
      <c r="I4" s="34"/>
    </row>
    <row r="5" spans="1:9" x14ac:dyDescent="0.3">
      <c r="A5" t="s">
        <v>790</v>
      </c>
      <c r="B5" t="s">
        <v>191</v>
      </c>
      <c r="C5" t="s">
        <v>606</v>
      </c>
      <c r="D5" t="s">
        <v>213</v>
      </c>
      <c r="E5" s="3">
        <v>357084344468932</v>
      </c>
      <c r="G5" t="s">
        <v>1018</v>
      </c>
      <c r="I5" s="34"/>
    </row>
    <row r="6" spans="1:9" x14ac:dyDescent="0.3">
      <c r="A6" s="142" t="s">
        <v>1019</v>
      </c>
      <c r="B6" s="142"/>
      <c r="C6" s="142"/>
      <c r="D6" s="142"/>
      <c r="E6" s="142"/>
      <c r="F6" s="142"/>
      <c r="G6" s="142"/>
      <c r="H6" s="142"/>
    </row>
    <row r="7" spans="1:9" x14ac:dyDescent="0.3">
      <c r="A7" t="s">
        <v>564</v>
      </c>
      <c r="B7" t="s">
        <v>191</v>
      </c>
      <c r="C7" t="s">
        <v>563</v>
      </c>
      <c r="D7" t="s">
        <v>127</v>
      </c>
      <c r="E7" s="3">
        <v>350566101441174</v>
      </c>
      <c r="G7" t="s">
        <v>1018</v>
      </c>
    </row>
    <row r="8" spans="1:9" x14ac:dyDescent="0.3">
      <c r="A8" t="s">
        <v>564</v>
      </c>
      <c r="B8" t="s">
        <v>191</v>
      </c>
      <c r="C8" t="s">
        <v>568</v>
      </c>
      <c r="D8" t="s">
        <v>157</v>
      </c>
      <c r="E8" s="3">
        <v>356796480675498</v>
      </c>
      <c r="G8" t="s">
        <v>1018</v>
      </c>
    </row>
    <row r="9" spans="1:9" x14ac:dyDescent="0.3">
      <c r="A9" t="s">
        <v>564</v>
      </c>
      <c r="B9" t="s">
        <v>191</v>
      </c>
      <c r="C9" t="s">
        <v>570</v>
      </c>
      <c r="D9" t="s">
        <v>177</v>
      </c>
      <c r="E9" s="3">
        <v>353247104496222</v>
      </c>
      <c r="G9" t="s">
        <v>1018</v>
      </c>
    </row>
    <row r="10" spans="1:9" x14ac:dyDescent="0.3">
      <c r="A10" s="21" t="s">
        <v>835</v>
      </c>
      <c r="B10" s="21" t="s">
        <v>592</v>
      </c>
      <c r="C10" s="21" t="s">
        <v>611</v>
      </c>
      <c r="D10" s="21" t="s">
        <v>200</v>
      </c>
      <c r="E10" s="3">
        <v>351082120960722</v>
      </c>
      <c r="G10" s="21" t="s">
        <v>1018</v>
      </c>
    </row>
    <row r="11" spans="1:9" x14ac:dyDescent="0.3">
      <c r="A11" s="143" t="s">
        <v>1020</v>
      </c>
      <c r="B11" s="143"/>
      <c r="C11" s="143"/>
      <c r="D11" s="143"/>
      <c r="E11" s="143"/>
      <c r="F11" s="143"/>
      <c r="G11" s="143"/>
      <c r="H11" s="143"/>
    </row>
    <row r="12" spans="1:9" x14ac:dyDescent="0.3">
      <c r="A12" t="s">
        <v>838</v>
      </c>
      <c r="B12" t="s">
        <v>191</v>
      </c>
      <c r="C12" t="s">
        <v>572</v>
      </c>
      <c r="D12" t="s">
        <v>215</v>
      </c>
      <c r="E12" s="5">
        <v>352865675892301</v>
      </c>
      <c r="G12" t="s">
        <v>1018</v>
      </c>
      <c r="I12" s="34"/>
    </row>
    <row r="13" spans="1:9" x14ac:dyDescent="0.3">
      <c r="A13" s="144" t="s">
        <v>574</v>
      </c>
      <c r="B13" s="144"/>
      <c r="C13" s="144"/>
      <c r="D13" s="144"/>
      <c r="E13" s="144"/>
      <c r="F13" s="144"/>
      <c r="G13" s="144"/>
      <c r="H13" s="144"/>
    </row>
    <row r="14" spans="1:9" x14ac:dyDescent="0.3">
      <c r="A14" t="s">
        <v>573</v>
      </c>
      <c r="B14" t="s">
        <v>191</v>
      </c>
      <c r="C14" t="s">
        <v>572</v>
      </c>
      <c r="D14" t="s">
        <v>153</v>
      </c>
      <c r="E14" s="3">
        <v>350019045940745</v>
      </c>
      <c r="G14" t="s">
        <v>1018</v>
      </c>
    </row>
    <row r="15" spans="1:9" x14ac:dyDescent="0.3">
      <c r="A15" t="s">
        <v>573</v>
      </c>
      <c r="B15" t="s">
        <v>114</v>
      </c>
      <c r="C15" t="s">
        <v>578</v>
      </c>
      <c r="D15" t="s">
        <v>576</v>
      </c>
      <c r="E15" s="3">
        <v>356747116811213</v>
      </c>
      <c r="G15" t="s">
        <v>1018</v>
      </c>
    </row>
  </sheetData>
  <autoFilter ref="A1:H1" xr:uid="{E6B5D793-554C-4648-BD47-C4B82256D018}"/>
  <mergeCells count="4">
    <mergeCell ref="A2:H2"/>
    <mergeCell ref="A6:H6"/>
    <mergeCell ref="A11:H11"/>
    <mergeCell ref="A13:H13"/>
  </mergeCells>
  <conditionalFormatting sqref="D1">
    <cfRule type="duplicateValues" dxfId="29" priority="9"/>
  </conditionalFormatting>
  <conditionalFormatting sqref="D3:D5">
    <cfRule type="duplicateValues" dxfId="28" priority="8"/>
  </conditionalFormatting>
  <conditionalFormatting sqref="D7:D10 G10">
    <cfRule type="duplicateValues" dxfId="27" priority="5"/>
  </conditionalFormatting>
  <conditionalFormatting sqref="D12">
    <cfRule type="duplicateValues" dxfId="26" priority="3"/>
  </conditionalFormatting>
  <conditionalFormatting sqref="D14:D15">
    <cfRule type="duplicateValues" dxfId="25" priority="1"/>
  </conditionalFormatting>
  <conditionalFormatting sqref="E3:E5">
    <cfRule type="duplicateValues" dxfId="24" priority="7"/>
  </conditionalFormatting>
  <conditionalFormatting sqref="E7:E10">
    <cfRule type="duplicateValues" dxfId="23" priority="6"/>
  </conditionalFormatting>
  <conditionalFormatting sqref="E12">
    <cfRule type="duplicateValues" dxfId="22" priority="4"/>
  </conditionalFormatting>
  <conditionalFormatting sqref="E14:E15">
    <cfRule type="duplicateValues" dxfId="21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108F-1656-41A8-8634-BF733D249D59}">
  <dimension ref="A1:R15"/>
  <sheetViews>
    <sheetView workbookViewId="0">
      <selection activeCell="P20" sqref="P20"/>
    </sheetView>
  </sheetViews>
  <sheetFormatPr defaultRowHeight="14.4" x14ac:dyDescent="0.3"/>
  <cols>
    <col min="1" max="1" width="4" bestFit="1" customWidth="1"/>
    <col min="2" max="2" width="12.33203125" bestFit="1" customWidth="1"/>
    <col min="3" max="4" width="16.109375" bestFit="1" customWidth="1"/>
    <col min="5" max="5" width="15.6640625" bestFit="1" customWidth="1"/>
    <col min="6" max="6" width="54.109375" bestFit="1" customWidth="1"/>
    <col min="7" max="7" width="16.109375" bestFit="1" customWidth="1"/>
    <col min="8" max="8" width="14.44140625" bestFit="1" customWidth="1"/>
    <col min="9" max="9" width="9" bestFit="1" customWidth="1"/>
    <col min="10" max="10" width="7.6640625" bestFit="1" customWidth="1"/>
    <col min="11" max="11" width="9" bestFit="1" customWidth="1"/>
    <col min="12" max="12" width="6.109375" bestFit="1" customWidth="1"/>
    <col min="13" max="13" width="5.5546875" bestFit="1" customWidth="1"/>
    <col min="14" max="14" width="6" bestFit="1" customWidth="1"/>
    <col min="15" max="15" width="7.88671875" bestFit="1" customWidth="1"/>
    <col min="16" max="16" width="43.6640625" bestFit="1" customWidth="1"/>
    <col min="17" max="17" width="14.6640625" bestFit="1" customWidth="1"/>
  </cols>
  <sheetData>
    <row r="1" spans="1:18" x14ac:dyDescent="0.3">
      <c r="A1" t="s">
        <v>530</v>
      </c>
      <c r="B1" t="s">
        <v>531</v>
      </c>
      <c r="D1" t="s">
        <v>4</v>
      </c>
      <c r="E1" t="s">
        <v>532</v>
      </c>
      <c r="F1" t="s">
        <v>533</v>
      </c>
      <c r="G1" t="s">
        <v>534</v>
      </c>
      <c r="H1" t="s">
        <v>535</v>
      </c>
      <c r="I1" t="s">
        <v>19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R1" t="s">
        <v>1021</v>
      </c>
    </row>
    <row r="2" spans="1:18" x14ac:dyDescent="0.3">
      <c r="A2" s="10" t="s">
        <v>552</v>
      </c>
      <c r="B2" s="11" t="s">
        <v>1022</v>
      </c>
      <c r="C2" s="11"/>
      <c r="D2" s="11" t="s">
        <v>577</v>
      </c>
      <c r="E2" s="11" t="s">
        <v>1023</v>
      </c>
      <c r="F2" s="11" t="s">
        <v>1024</v>
      </c>
      <c r="G2" s="12">
        <v>990013090331153</v>
      </c>
      <c r="H2" s="11" t="s">
        <v>546</v>
      </c>
      <c r="I2" s="11" t="s">
        <v>547</v>
      </c>
      <c r="J2" t="s">
        <v>548</v>
      </c>
      <c r="K2" t="s">
        <v>549</v>
      </c>
      <c r="L2" t="s">
        <v>550</v>
      </c>
      <c r="M2" s="2">
        <v>45658</v>
      </c>
      <c r="N2" s="2">
        <v>45717</v>
      </c>
      <c r="O2" t="s">
        <v>551</v>
      </c>
      <c r="Q2" t="s">
        <v>1025</v>
      </c>
      <c r="R2" s="2">
        <v>45726</v>
      </c>
    </row>
    <row r="3" spans="1:18" x14ac:dyDescent="0.3">
      <c r="A3" s="13" t="s">
        <v>557</v>
      </c>
      <c r="B3" s="14" t="s">
        <v>35</v>
      </c>
      <c r="C3" s="14"/>
      <c r="D3" s="14" t="s">
        <v>22</v>
      </c>
      <c r="E3" s="14" t="s">
        <v>1026</v>
      </c>
      <c r="F3" s="14" t="s">
        <v>1027</v>
      </c>
      <c r="G3" s="15">
        <v>15161004027051</v>
      </c>
      <c r="H3" s="14" t="s">
        <v>546</v>
      </c>
      <c r="I3" s="14" t="s">
        <v>547</v>
      </c>
      <c r="J3" s="14" t="s">
        <v>548</v>
      </c>
      <c r="K3" s="14" t="s">
        <v>549</v>
      </c>
      <c r="L3" s="14" t="s">
        <v>550</v>
      </c>
      <c r="M3" s="16">
        <v>45658</v>
      </c>
      <c r="N3" s="16">
        <v>45717</v>
      </c>
      <c r="O3" s="14" t="s">
        <v>551</v>
      </c>
      <c r="P3" s="14"/>
      <c r="Q3" s="14" t="s">
        <v>1025</v>
      </c>
      <c r="R3" s="2">
        <v>45726</v>
      </c>
    </row>
    <row r="4" spans="1:18" x14ac:dyDescent="0.3">
      <c r="A4" s="1" t="s">
        <v>556</v>
      </c>
      <c r="B4" t="s">
        <v>1028</v>
      </c>
      <c r="D4" t="s">
        <v>577</v>
      </c>
      <c r="E4" t="s">
        <v>114</v>
      </c>
      <c r="F4" t="s">
        <v>1029</v>
      </c>
      <c r="G4" s="3">
        <v>352782113859653</v>
      </c>
      <c r="H4" t="s">
        <v>546</v>
      </c>
      <c r="I4" t="s">
        <v>547</v>
      </c>
      <c r="J4" t="s">
        <v>548</v>
      </c>
      <c r="K4" t="s">
        <v>549</v>
      </c>
      <c r="L4" t="s">
        <v>550</v>
      </c>
      <c r="M4" s="2">
        <v>45658</v>
      </c>
      <c r="N4" s="2">
        <v>45717</v>
      </c>
      <c r="O4" t="s">
        <v>551</v>
      </c>
      <c r="Q4" t="s">
        <v>1025</v>
      </c>
      <c r="R4" s="2">
        <v>45726</v>
      </c>
    </row>
    <row r="5" spans="1:18" x14ac:dyDescent="0.3">
      <c r="B5" s="14" t="s">
        <v>47</v>
      </c>
      <c r="C5" s="14" t="s">
        <v>48</v>
      </c>
      <c r="D5" t="s">
        <v>22</v>
      </c>
      <c r="P5" t="s">
        <v>1030</v>
      </c>
      <c r="Q5" t="s">
        <v>1031</v>
      </c>
      <c r="R5" s="2">
        <v>45726</v>
      </c>
    </row>
    <row r="6" spans="1:18" x14ac:dyDescent="0.3">
      <c r="B6" s="14" t="s">
        <v>47</v>
      </c>
      <c r="C6" s="14" t="s">
        <v>48</v>
      </c>
      <c r="D6" t="s">
        <v>22</v>
      </c>
      <c r="P6" t="s">
        <v>1030</v>
      </c>
      <c r="Q6" t="s">
        <v>1031</v>
      </c>
      <c r="R6" s="2">
        <v>45726</v>
      </c>
    </row>
    <row r="7" spans="1:18" x14ac:dyDescent="0.3">
      <c r="B7" s="14" t="s">
        <v>81</v>
      </c>
      <c r="C7" s="14" t="s">
        <v>1032</v>
      </c>
      <c r="D7" t="s">
        <v>22</v>
      </c>
      <c r="P7" t="s">
        <v>1030</v>
      </c>
      <c r="Q7" t="s">
        <v>1031</v>
      </c>
      <c r="R7" s="2">
        <v>45726</v>
      </c>
    </row>
    <row r="8" spans="1:18" x14ac:dyDescent="0.3">
      <c r="B8" s="14" t="s">
        <v>83</v>
      </c>
      <c r="C8" s="14" t="s">
        <v>84</v>
      </c>
      <c r="D8" t="s">
        <v>22</v>
      </c>
      <c r="P8" t="s">
        <v>1030</v>
      </c>
      <c r="Q8" t="s">
        <v>1031</v>
      </c>
      <c r="R8" s="2">
        <v>45726</v>
      </c>
    </row>
    <row r="9" spans="1:18" x14ac:dyDescent="0.3">
      <c r="B9" s="14" t="s">
        <v>89</v>
      </c>
      <c r="C9" s="14" t="s">
        <v>90</v>
      </c>
      <c r="D9" t="s">
        <v>22</v>
      </c>
      <c r="P9" t="s">
        <v>1030</v>
      </c>
      <c r="Q9" t="s">
        <v>1031</v>
      </c>
      <c r="R9" s="2">
        <v>45726</v>
      </c>
    </row>
    <row r="10" spans="1:18" x14ac:dyDescent="0.3">
      <c r="B10" s="14" t="s">
        <v>113</v>
      </c>
      <c r="C10" s="14" t="s">
        <v>29</v>
      </c>
      <c r="D10" t="s">
        <v>22</v>
      </c>
      <c r="P10" t="s">
        <v>1030</v>
      </c>
      <c r="Q10" t="s">
        <v>1031</v>
      </c>
      <c r="R10" s="2">
        <v>45726</v>
      </c>
    </row>
    <row r="11" spans="1:18" x14ac:dyDescent="0.3">
      <c r="B11" s="14" t="s">
        <v>133</v>
      </c>
      <c r="C11" s="14" t="s">
        <v>134</v>
      </c>
      <c r="D11" t="s">
        <v>22</v>
      </c>
      <c r="P11" t="s">
        <v>1030</v>
      </c>
      <c r="Q11" t="s">
        <v>1031</v>
      </c>
      <c r="R11" s="2">
        <v>45726</v>
      </c>
    </row>
    <row r="12" spans="1:18" x14ac:dyDescent="0.3">
      <c r="B12" s="14" t="s">
        <v>197</v>
      </c>
      <c r="C12" s="14" t="s">
        <v>1033</v>
      </c>
      <c r="D12" t="s">
        <v>22</v>
      </c>
      <c r="P12" t="s">
        <v>1030</v>
      </c>
      <c r="Q12" t="s">
        <v>1031</v>
      </c>
      <c r="R12" s="2">
        <v>45726</v>
      </c>
    </row>
    <row r="13" spans="1:18" x14ac:dyDescent="0.3">
      <c r="B13" s="14" t="s">
        <v>217</v>
      </c>
      <c r="C13" s="14" t="s">
        <v>218</v>
      </c>
      <c r="D13" t="s">
        <v>22</v>
      </c>
      <c r="P13" t="s">
        <v>1030</v>
      </c>
      <c r="Q13" t="s">
        <v>1031</v>
      </c>
      <c r="R13" s="2">
        <v>45726</v>
      </c>
    </row>
    <row r="14" spans="1:18" x14ac:dyDescent="0.3">
      <c r="B14" s="14" t="s">
        <v>219</v>
      </c>
      <c r="C14" s="14" t="s">
        <v>1034</v>
      </c>
      <c r="D14" t="s">
        <v>22</v>
      </c>
      <c r="P14" t="s">
        <v>1030</v>
      </c>
      <c r="Q14" t="s">
        <v>1031</v>
      </c>
      <c r="R14" s="2">
        <v>45726</v>
      </c>
    </row>
    <row r="15" spans="1:18" x14ac:dyDescent="0.3">
      <c r="B15" s="14" t="s">
        <v>245</v>
      </c>
      <c r="C15" s="14" t="s">
        <v>246</v>
      </c>
      <c r="D15" t="s">
        <v>22</v>
      </c>
      <c r="P15" t="s">
        <v>1030</v>
      </c>
      <c r="Q15" t="s">
        <v>1031</v>
      </c>
      <c r="R15" s="2">
        <v>45726</v>
      </c>
    </row>
  </sheetData>
  <conditionalFormatting sqref="G2:G3">
    <cfRule type="duplicateValues" dxfId="20" priority="2"/>
  </conditionalFormatting>
  <conditionalFormatting sqref="G4">
    <cfRule type="duplicateValues" dxfId="1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6497-43C8-4AA3-A292-9210997B6585}">
  <dimension ref="A1:K9"/>
  <sheetViews>
    <sheetView workbookViewId="0">
      <selection activeCell="D25" sqref="D25"/>
    </sheetView>
  </sheetViews>
  <sheetFormatPr defaultRowHeight="14.4" x14ac:dyDescent="0.3"/>
  <sheetData>
    <row r="1" spans="1:11" x14ac:dyDescent="0.3">
      <c r="A1" t="s">
        <v>1035</v>
      </c>
    </row>
    <row r="2" spans="1:11" x14ac:dyDescent="0.3">
      <c r="A2" t="s">
        <v>1036</v>
      </c>
      <c r="K2" t="s">
        <v>1037</v>
      </c>
    </row>
    <row r="3" spans="1:11" x14ac:dyDescent="0.3">
      <c r="A3" t="s">
        <v>1038</v>
      </c>
    </row>
    <row r="4" spans="1:11" x14ac:dyDescent="0.3">
      <c r="A4" t="s">
        <v>1039</v>
      </c>
    </row>
    <row r="7" spans="1:11" x14ac:dyDescent="0.3">
      <c r="A7" t="s">
        <v>1040</v>
      </c>
    </row>
    <row r="9" spans="1:11" x14ac:dyDescent="0.3">
      <c r="A9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Sheet3</vt:lpstr>
      <vt:lpstr>Sheet2</vt:lpstr>
      <vt:lpstr>Sheet4</vt:lpstr>
      <vt:lpstr>FACTURAS</vt:lpstr>
      <vt:lpstr>DISPOSITIVOS ACTIVOS</vt:lpstr>
      <vt:lpstr>MIGRACION SEPTIEMBRE 2025</vt:lpstr>
      <vt:lpstr>Sheet5</vt:lpstr>
      <vt:lpstr>Cambios por escrito</vt:lpstr>
      <vt:lpstr>HISTORIAL DE CAMBIOS Y REEMPLAZ</vt:lpstr>
      <vt:lpstr>STOCK DISPOSITIVOS</vt:lpstr>
      <vt:lpstr>STOCK DISPOSITIVOS (2)</vt:lpstr>
      <vt:lpstr>Email Confirmacion</vt:lpstr>
      <vt:lpstr>DISCON or SUSPEND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Chavez</dc:creator>
  <cp:keywords/>
  <dc:description/>
  <cp:lastModifiedBy>Christian Chavez</cp:lastModifiedBy>
  <cp:revision/>
  <dcterms:created xsi:type="dcterms:W3CDTF">2025-03-02T02:20:57Z</dcterms:created>
  <dcterms:modified xsi:type="dcterms:W3CDTF">2025-09-24T15:39:41Z</dcterms:modified>
  <cp:category/>
  <cp:contentStatus/>
</cp:coreProperties>
</file>